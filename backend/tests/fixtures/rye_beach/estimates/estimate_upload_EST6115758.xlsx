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Estimates" sheetId="2" state="visible" r:id="rId4"/>
    <sheet name="Work areas" sheetId="3" state="visible" r:id="rId5"/>
    <sheet name="Estimate co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Worked example. price = the estimating system's Total Price (kept work areas). Estimator, client, jobsite and date left for the owner.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8" authorId="0">
      <text>
        <r>
          <rPr>
            <sz val="10"/>
            <rFont val="Arial"/>
            <family val="2"/>
          </rPr>
          <t xml:space="preserve">Order 17 is ticked Keep/Omit in LMN: omitted, kept = N. Its 15,000.00 is outside the control total and it has no cost lines.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Codes shown are the EX division (2xx). The dropdown lists EX only for the example; the platform validates against the tenant's full cost-code grid (LS 1xx, EX 2xx, GC 3xx, SNOW 4xx).</t>
        </r>
      </text>
    </comment>
  </commentList>
</comments>
</file>

<file path=xl/sharedStrings.xml><?xml version="1.0" encoding="utf-8"?>
<sst xmlns="http://schemas.openxmlformats.org/spreadsheetml/2006/main" count="346" uniqueCount="163">
  <si>
    <t xml:space="preserve">Estimate upload template</t>
  </si>
  <si>
    <t xml:space="preserve">One workbook carries any number of estimates. Fill the three data sheets; leave this sheet as it is. Blue cells are yours to fill.</t>
  </si>
  <si>
    <t xml:space="preserve">Sheet 'Estimates' — one row per estimate.</t>
  </si>
  <si>
    <t xml:space="preserve">  estimate_id     required. Your estimating system's id (e.g. EST6115758). Rows are matched and updated by this id, never by name.</t>
  </si>
  <si>
    <t xml:space="preserve">  estimator, client, jobsite   optional text. The platform never links a client by name.</t>
  </si>
  <si>
    <t xml:space="preserve">  name            required. Estimate / project name.</t>
  </si>
  <si>
    <t xml:space="preserve">  status          required. Pending, Sold or Lost. Any other word is loaded without a normalized status and reported.</t>
  </si>
  <si>
    <t xml:space="preserve">  price           required. The estimate's total price: the control total. Kept work areas on 'Work areas' must sum to it.</t>
  </si>
  <si>
    <t xml:space="preserve">  estimate_date   optional. YYYY-MM-DD.</t>
  </si>
  <si>
    <t xml:space="preserve">Sheet 'Work areas' — one row per work area (the schedule-of-values line the customer sees and that billing refers to as #n).</t>
  </si>
  <si>
    <t xml:space="preserve">  estimate_id, order   required. order is the line number; it is the work area's identity across versions — never renumber.</t>
  </si>
  <si>
    <t xml:space="preserve">  kept            required. Y or N. N = omitted from the contract. An omitted work area, or one priced 0.00, needs no cost lines.</t>
  </si>
  <si>
    <t xml:space="preserve">  name            required. A name beginning 'CO:' or 'C/O' suggests a change order; a person confirms it.</t>
  </si>
  <si>
    <t xml:space="preserve">  price           required. notes optional.</t>
  </si>
  <si>
    <t xml:space="preserve">Sheet 'Estimate costs' — one or more rows per kept work area, each with exactly one cost code.</t>
  </si>
  <si>
    <t xml:space="preserve">  estimate_id, order   required; must match a row on 'Work areas'.</t>
  </si>
  <si>
    <t xml:space="preserve">  cost_code       required. Three digits: division digit + cost-type slot (e.g. 210 = EX Labor, 240 = EX Subcontractors). The code equals the ledger account without its leading 5.</t>
  </si>
  <si>
    <t xml:space="preserve">  hours           optional. Estimated labor (or machine) hours for the line.</t>
  </si>
  <si>
    <t xml:space="preserve">  amount          required. Estimated cost. A work area's cost is the sum of its lines; the estimate's cost by category is the sum over kept work areas.</t>
  </si>
  <si>
    <t xml:space="preserve">  notes           optional. What the line is made of.</t>
  </si>
  <si>
    <t xml:space="preserve">Money to the cent. A kept work area with no cost line leaves the estimate outside the WIP schedule until a person adds the lines (D-04).</t>
  </si>
  <si>
    <t xml:space="preserve">Re-uploading the same file changes nothing; a changed file creates a new version and the earlier one is kept.</t>
  </si>
  <si>
    <t xml:space="preserve">Worked example: EST6115758, 67 Elm Street | Parking Lot, coded as an EX (excavation) estimate. Work area 5 has a placeholder line (290) because its item detail was not available; work area 17 is omitted and has no cost lines.</t>
  </si>
  <si>
    <t xml:space="preserve">Control checks (recalculated when the file is opened)</t>
  </si>
  <si>
    <t xml:space="preserve">estimate_id</t>
  </si>
  <si>
    <t xml:space="preserve">price on 'Estimates'</t>
  </si>
  <si>
    <t xml:space="preserve">kept work-area prices</t>
  </si>
  <si>
    <t xml:space="preserve">difference</t>
  </si>
  <si>
    <t xml:space="preserve">cost lines total</t>
  </si>
  <si>
    <t xml:space="preserve">kept work areas without a cost line</t>
  </si>
  <si>
    <t xml:space="preserve">Estimated cost by cost category (kept work areas), with the WIP-basis treatment under D-04</t>
  </si>
  <si>
    <t xml:space="preserve">cost_code</t>
  </si>
  <si>
    <t xml:space="preserve">cost category</t>
  </si>
  <si>
    <t xml:space="preserve">amount</t>
  </si>
  <si>
    <t xml:space="preserve">in WIP basis (D-04)</t>
  </si>
  <si>
    <t xml:space="preserve">210</t>
  </si>
  <si>
    <t xml:space="preserve">Labor</t>
  </si>
  <si>
    <t xml:space="preserve">Yes</t>
  </si>
  <si>
    <t xml:space="preserve">220</t>
  </si>
  <si>
    <t xml:space="preserve">Labor Burden</t>
  </si>
  <si>
    <t xml:space="preserve">Not decided (D-05)</t>
  </si>
  <si>
    <t xml:space="preserve">230</t>
  </si>
  <si>
    <t xml:space="preserve">Materials</t>
  </si>
  <si>
    <t xml:space="preserve">235</t>
  </si>
  <si>
    <t xml:space="preserve">Supplies</t>
  </si>
  <si>
    <t xml:space="preserve">240</t>
  </si>
  <si>
    <t xml:space="preserve">Subcontractors</t>
  </si>
  <si>
    <t xml:space="preserve">245</t>
  </si>
  <si>
    <t xml:space="preserve">Equipment (owned)</t>
  </si>
  <si>
    <t xml:space="preserve">No</t>
  </si>
  <si>
    <t xml:space="preserve">247</t>
  </si>
  <si>
    <t xml:space="preserve">Vehicles (owned)</t>
  </si>
  <si>
    <t xml:space="preserve">250</t>
  </si>
  <si>
    <t xml:space="preserve">Equipment Rental</t>
  </si>
  <si>
    <t xml:space="preserve">255</t>
  </si>
  <si>
    <t xml:space="preserve">Equipment Maintenance</t>
  </si>
  <si>
    <t xml:space="preserve">260</t>
  </si>
  <si>
    <t xml:space="preserve">Disposal</t>
  </si>
  <si>
    <t xml:space="preserve">265</t>
  </si>
  <si>
    <t xml:space="preserve">Fuel</t>
  </si>
  <si>
    <t xml:space="preserve">270</t>
  </si>
  <si>
    <t xml:space="preserve">Permits &amp; Bonds</t>
  </si>
  <si>
    <t xml:space="preserve">280</t>
  </si>
  <si>
    <t xml:space="preserve">Warranty</t>
  </si>
  <si>
    <t xml:space="preserve">Not decided (D-04)</t>
  </si>
  <si>
    <t xml:space="preserve">290</t>
  </si>
  <si>
    <t xml:space="preserve">Other</t>
  </si>
  <si>
    <t xml:space="preserve">Total estimated cost</t>
  </si>
  <si>
    <t xml:space="preserve">EAC in the WIP basis</t>
  </si>
  <si>
    <t xml:space="preserve">Labor Burden (220) is in the basis only if D-05 puts it on both sides; Warranty (280) is not decided (D-04). Work area 5's placeholder sits in 290 until split.</t>
  </si>
  <si>
    <t xml:space="preserve">estimator</t>
  </si>
  <si>
    <t xml:space="preserve">client</t>
  </si>
  <si>
    <t xml:space="preserve">jobsite</t>
  </si>
  <si>
    <t xml:space="preserve">name</t>
  </si>
  <si>
    <t xml:space="preserve">status</t>
  </si>
  <si>
    <t xml:space="preserve">price</t>
  </si>
  <si>
    <t xml:space="preserve">estimate_date</t>
  </si>
  <si>
    <t xml:space="preserve">EST6115758</t>
  </si>
  <si>
    <t xml:space="preserve">67 Elm Street | Parking Lot</t>
  </si>
  <si>
    <t xml:space="preserve">Sold</t>
  </si>
  <si>
    <t xml:space="preserve">order</t>
  </si>
  <si>
    <t xml:space="preserve">kept</t>
  </si>
  <si>
    <t xml:space="preserve">notes</t>
  </si>
  <si>
    <t xml:space="preserve">Y</t>
  </si>
  <si>
    <t xml:space="preserve">Mobilization</t>
  </si>
  <si>
    <t xml:space="preserve">Erosion Control &amp; Site Prep</t>
  </si>
  <si>
    <t xml:space="preserve">Demo Existing Wall</t>
  </si>
  <si>
    <t xml:space="preserve">New Retaining Wall</t>
  </si>
  <si>
    <t xml:space="preserve">Underground Detention System</t>
  </si>
  <si>
    <t xml:space="preserve">Drainage Structures &amp; Piping</t>
  </si>
  <si>
    <t xml:space="preserve">Drainage Connection in Street</t>
  </si>
  <si>
    <t xml:space="preserve">Grading &amp; Pavement Prep</t>
  </si>
  <si>
    <t xml:space="preserve">Pavement</t>
  </si>
  <si>
    <t xml:space="preserve">Striping &amp; Signage</t>
  </si>
  <si>
    <t xml:space="preserve">Granite Curb</t>
  </si>
  <si>
    <t xml:space="preserve">Sidewalk Prep</t>
  </si>
  <si>
    <t xml:space="preserve">Concrete Sidewalk</t>
  </si>
  <si>
    <t xml:space="preserve">Concrete Steps &amp; Handrail</t>
  </si>
  <si>
    <t xml:space="preserve">Landscaping</t>
  </si>
  <si>
    <t xml:space="preserve">Chain Link Fence</t>
  </si>
  <si>
    <t xml:space="preserve">N</t>
  </si>
  <si>
    <t xml:space="preserve">Budget for Adjacent Property Repairs (if needed)</t>
  </si>
  <si>
    <t xml:space="preserve">CO: Ledge Removal per Day</t>
  </si>
  <si>
    <t xml:space="preserve">CO: Permitting</t>
  </si>
  <si>
    <t xml:space="preserve">CO: Water/Sewer Cap &amp; Inspections</t>
  </si>
  <si>
    <t xml:space="preserve">CO: Parking Extension 8/24-8/28 2 loads gravel 4-24s 4-caps</t>
  </si>
  <si>
    <t xml:space="preserve">hours</t>
  </si>
  <si>
    <t xml:space="preserve">Average crew cost</t>
  </si>
  <si>
    <t xml:space="preserve">Driver flat rate w/ truck</t>
  </si>
  <si>
    <t xml:space="preserve">Heavy tag trailer</t>
  </si>
  <si>
    <t xml:space="preserve">Portable toilet</t>
  </si>
  <si>
    <t xml:space="preserve">Mobile fencing rental</t>
  </si>
  <si>
    <t xml:space="preserve">Crew 435.18, operator 428.28</t>
  </si>
  <si>
    <t xml:space="preserve">Crew truck 150.93, driver 653.57</t>
  </si>
  <si>
    <t xml:space="preserve">CAT 316</t>
  </si>
  <si>
    <t xml:space="preserve">Bulldozer rental</t>
  </si>
  <si>
    <t xml:space="preserve">Crushed stone 750.00, fabric 40.00, silt sock 966.40, sediment bags 348.00</t>
  </si>
  <si>
    <t xml:space="preserve">Haight Engineering survey/layout</t>
  </si>
  <si>
    <t xml:space="preserve">Crew 1305.55, laborer 994.71, manager 126.94, operator 1284.93 (adjusted to tie)</t>
  </si>
  <si>
    <t xml:space="preserve">Crew truck 452.79, driver 1960.72</t>
  </si>
  <si>
    <t xml:space="preserve">CAT 316 1515.78, CAT 930M 674.91, Kubota 357 w/ hammer 1500.00 (Kubota may be rental), Mecalac 360.09</t>
  </si>
  <si>
    <t xml:space="preserve">Crew 2175.92, laborer 1657.85, operator 2141.38</t>
  </si>
  <si>
    <t xml:space="preserve">Crew truck 754.65, driver 3267.86</t>
  </si>
  <si>
    <t xml:space="preserve">CAT 316 2245.60, Mecalac 1600.40</t>
  </si>
  <si>
    <t xml:space="preserve">Bank run gravel 1400.00, stone 7920.00, rip rap 1680.00, HDPE pipe 1500.00, fitting 50.00, fabric 750.00</t>
  </si>
  <si>
    <t xml:space="preserve">Gravity retaining wall, Pepin Precast</t>
  </si>
  <si>
    <t xml:space="preserve">PLACEHOLDER: item detail not in the PDF; owner splits from LMN</t>
  </si>
  <si>
    <t xml:space="preserve">Crew 1740.74, laborer 1326.28, manager 761.62, operator 1713.10 (adjusted to tie)</t>
  </si>
  <si>
    <t xml:space="preserve">Crew truck 603.72, driver 726.19</t>
  </si>
  <si>
    <t xml:space="preserve">CAT 316 1010.52, CAT 930M 1349.82, Mecalac 1440.36</t>
  </si>
  <si>
    <t xml:space="preserve">Vibratory roller rental</t>
  </si>
  <si>
    <t xml:space="preserve">Stone 1728.00, culvert pipe 2360.00, catch basins 3455.00, manholes 2500.00</t>
  </si>
  <si>
    <t xml:space="preserve">Crew 435.18, laborer 331.57, manager 190.40, operator 428.28 (adjusted to tie)</t>
  </si>
  <si>
    <t xml:space="preserve">Crew truck 150.93, driver 580.95</t>
  </si>
  <si>
    <t xml:space="preserve">Mecalac</t>
  </si>
  <si>
    <t xml:space="preserve">Gravel base 432.00, stone 432.00, culvert pipe 864.00</t>
  </si>
  <si>
    <t xml:space="preserve">All Phase Paving, patch</t>
  </si>
  <si>
    <t xml:space="preserve">Crew 2175.92, laborer 1657.85, manager 952.02, operator 2141.38 (adjusted to tie)</t>
  </si>
  <si>
    <t xml:space="preserve">Crew truck 754.65, driver 2178.58</t>
  </si>
  <si>
    <t xml:space="preserve">Bulldozer rental 1920.00, vibratory roller rental 1278.00</t>
  </si>
  <si>
    <t xml:space="preserve">Crushed bank run 1400.00, gravel base 7200.00</t>
  </si>
  <si>
    <t xml:space="preserve">All Phase Paving: binder 26565.00, top coat 16445.00</t>
  </si>
  <si>
    <t xml:space="preserve">Crew 483.54, manager 126.94 (adjusted to tie)</t>
  </si>
  <si>
    <t xml:space="preserve">Signs/signage 750.00, Tri State Striping 1200.00</t>
  </si>
  <si>
    <t xml:space="preserve">Crew</t>
  </si>
  <si>
    <t xml:space="preserve">Granite curb cut-to-fit 11744.00 + 741.00 + 2640.00, freight 850.00, concrete Hissong 1495.00</t>
  </si>
  <si>
    <t xml:space="preserve">Crew 1305.55, laborer 663.14, operator 1284.93 (adjusted to tie)</t>
  </si>
  <si>
    <t xml:space="preserve">Crew truck 452.79, driver 435.72</t>
  </si>
  <si>
    <t xml:space="preserve">Gravel base</t>
  </si>
  <si>
    <t xml:space="preserve">Concrete sidewalk installed, 1830 SF</t>
  </si>
  <si>
    <t xml:space="preserve">Detectable warning strips</t>
  </si>
  <si>
    <t xml:space="preserve">Concrete steps installed 1350.00, Brentwood Fence handrail 3475.00</t>
  </si>
  <si>
    <t xml:space="preserve">Crew truck 150.93, dump truck 6-wheeler 173.04, dump truck tri-axle 201.40</t>
  </si>
  <si>
    <t xml:space="preserve">Mini excavator</t>
  </si>
  <si>
    <t xml:space="preserve">Loam 864.00, plant budget (derived to tie), fertilizer 65.00, mulch 540.00, delivery 125.00, hydroseed 180.00</t>
  </si>
  <si>
    <t xml:space="preserve">Brentwood Fence, 200 LF chain link</t>
  </si>
  <si>
    <t xml:space="preserve">Crew 435.15, operator 428.28 (adjusted to tie)</t>
  </si>
  <si>
    <t xml:space="preserve">Crew truck 150.93, tri-axle dump 82.25</t>
  </si>
  <si>
    <t xml:space="preserve">Rental excavator w/ 8K hammer</t>
  </si>
  <si>
    <t xml:space="preserve">Standard mobilization</t>
  </si>
  <si>
    <t xml:space="preserve">Driveway permit 50.00, trench permit 70.00, wall permit 0.00</t>
  </si>
  <si>
    <t xml:space="preserve">Excavation manager</t>
  </si>
  <si>
    <t xml:space="preserve">Gravel base 450.00, stone 1166.40, wall block 460.00 + 50.00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</si>
</sst>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4" t="s">
        <v>22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5" t="s">
        <v>24</v>
      </c>
      <c r="B30" s="5" t="s">
        <v>25</v>
      </c>
      <c r="C30" s="5" t="s">
        <v>26</v>
      </c>
      <c r="D30" s="5" t="s">
        <v>27</v>
      </c>
      <c r="E30" s="5" t="s">
        <v>28</v>
      </c>
      <c r="F30" s="5" t="s">
        <v>29</v>
      </c>
    </row>
    <row r="31" customFormat="false" ht="15" hidden="false" customHeight="false" outlineLevel="0" collapsed="false">
      <c r="A31" s="2" t="str">
        <f aca="false">Estimates!A2</f>
        <v>EST6115758</v>
      </c>
      <c r="B31" s="6" t="n">
        <f aca="false">Estimates!G2</f>
        <v>475129.68</v>
      </c>
      <c r="C31" s="6" t="n">
        <f aca="false">SUMIFS('Work areas'!E:E,'Work areas'!A:A,A31,'Work areas'!C:C,"Y")</f>
        <v>475129.68</v>
      </c>
      <c r="D31" s="6" t="n">
        <f aca="false">B31-C31</f>
        <v>0</v>
      </c>
      <c r="E31" s="6" t="n">
        <f aca="false">SUMIFS('Estimate costs'!E:E,'Estimate costs'!A:A,A31)</f>
        <v>315832.69</v>
      </c>
      <c r="F31" s="2" t="n">
        <f aca="false">SUMPRODUCT(('Work areas'!A2:A200=A31)*('Work areas'!C2:C200="Y")*('Work areas'!E2:E200&gt;0)*(COUNTIFS('Estimate costs'!A:A,A31,'Estimate costs'!B:B,'Work areas'!B2:B200)=0))</f>
        <v>0</v>
      </c>
    </row>
    <row r="33" customFormat="false" ht="15" hidden="false" customHeight="false" outlineLevel="0" collapsed="false">
      <c r="A33" s="3" t="s">
        <v>30</v>
      </c>
    </row>
    <row r="34" customFormat="false" ht="15" hidden="false" customHeight="false" outlineLevel="0" collapsed="false">
      <c r="A34" s="5" t="s">
        <v>31</v>
      </c>
      <c r="B34" s="5" t="s">
        <v>32</v>
      </c>
      <c r="C34" s="5" t="s">
        <v>33</v>
      </c>
      <c r="D34" s="5" t="s">
        <v>34</v>
      </c>
    </row>
    <row r="35" customFormat="false" ht="15" hidden="false" customHeight="false" outlineLevel="0" collapsed="false">
      <c r="A35" s="2" t="s">
        <v>35</v>
      </c>
      <c r="B35" s="2" t="s">
        <v>36</v>
      </c>
      <c r="C35" s="6" t="n">
        <f aca="false">SUMIFS('Estimate costs'!E:E,'Estimate costs'!C:C,A35)</f>
        <v>32585.55</v>
      </c>
      <c r="D35" s="2" t="s">
        <v>37</v>
      </c>
    </row>
    <row r="36" customFormat="false" ht="15" hidden="false" customHeight="false" outlineLevel="0" collapsed="false">
      <c r="A36" s="2" t="s">
        <v>38</v>
      </c>
      <c r="B36" s="2" t="s">
        <v>39</v>
      </c>
      <c r="C36" s="6" t="n">
        <f aca="false">SUMIFS('Estimate costs'!E:E,'Estimate costs'!C:C,A36)</f>
        <v>0</v>
      </c>
      <c r="D36" s="2" t="s">
        <v>40</v>
      </c>
    </row>
    <row r="37" customFormat="false" ht="15" hidden="false" customHeight="false" outlineLevel="0" collapsed="false">
      <c r="A37" s="2" t="s">
        <v>41</v>
      </c>
      <c r="B37" s="2" t="s">
        <v>42</v>
      </c>
      <c r="C37" s="6" t="n">
        <f aca="false">SUMIFS('Estimate costs'!E:E,'Estimate costs'!C:C,A37)</f>
        <v>63940.8</v>
      </c>
      <c r="D37" s="2" t="s">
        <v>37</v>
      </c>
    </row>
    <row r="38" customFormat="false" ht="15" hidden="false" customHeight="false" outlineLevel="0" collapsed="false">
      <c r="A38" s="2" t="s">
        <v>43</v>
      </c>
      <c r="B38" s="2" t="s">
        <v>44</v>
      </c>
      <c r="C38" s="6" t="n">
        <f aca="false">SUMIFS('Estimate costs'!E:E,'Estimate costs'!C:C,A38)</f>
        <v>0</v>
      </c>
      <c r="D38" s="2" t="s">
        <v>37</v>
      </c>
    </row>
    <row r="39" customFormat="false" ht="15" hidden="false" customHeight="false" outlineLevel="0" collapsed="false">
      <c r="A39" s="2" t="s">
        <v>45</v>
      </c>
      <c r="B39" s="2" t="s">
        <v>46</v>
      </c>
      <c r="C39" s="6" t="n">
        <f aca="false">SUMIFS('Estimate costs'!E:E,'Estimate costs'!C:C,A39)</f>
        <v>132965</v>
      </c>
      <c r="D39" s="2" t="s">
        <v>37</v>
      </c>
    </row>
    <row r="40" customFormat="false" ht="15" hidden="false" customHeight="false" outlineLevel="0" collapsed="false">
      <c r="A40" s="2" t="s">
        <v>47</v>
      </c>
      <c r="B40" s="2" t="s">
        <v>48</v>
      </c>
      <c r="C40" s="6" t="n">
        <f aca="false">SUMIFS('Estimate costs'!E:E,'Estimate costs'!C:C,A40)</f>
        <v>14589.7</v>
      </c>
      <c r="D40" s="2" t="s">
        <v>49</v>
      </c>
    </row>
    <row r="41" customFormat="false" ht="15" hidden="false" customHeight="false" outlineLevel="0" collapsed="false">
      <c r="A41" s="2" t="s">
        <v>50</v>
      </c>
      <c r="B41" s="2" t="s">
        <v>51</v>
      </c>
      <c r="C41" s="6" t="n">
        <f aca="false">SUMIFS('Estimate costs'!E:E,'Estimate costs'!C:C,A41)</f>
        <v>14608.79</v>
      </c>
      <c r="D41" s="2" t="s">
        <v>49</v>
      </c>
    </row>
    <row r="42" customFormat="false" ht="15" hidden="false" customHeight="false" outlineLevel="0" collapsed="false">
      <c r="A42" s="2" t="s">
        <v>52</v>
      </c>
      <c r="B42" s="2" t="s">
        <v>53</v>
      </c>
      <c r="C42" s="6" t="n">
        <f aca="false">SUMIFS('Estimate costs'!E:E,'Estimate costs'!C:C,A42)</f>
        <v>10491.5</v>
      </c>
      <c r="D42" s="2" t="s">
        <v>37</v>
      </c>
    </row>
    <row r="43" customFormat="false" ht="15" hidden="false" customHeight="false" outlineLevel="0" collapsed="false">
      <c r="A43" s="2" t="s">
        <v>54</v>
      </c>
      <c r="B43" s="2" t="s">
        <v>55</v>
      </c>
      <c r="C43" s="6" t="n">
        <f aca="false">SUMIFS('Estimate costs'!E:E,'Estimate costs'!C:C,A43)</f>
        <v>0</v>
      </c>
      <c r="D43" s="2" t="s">
        <v>49</v>
      </c>
    </row>
    <row r="44" customFormat="false" ht="15" hidden="false" customHeight="false" outlineLevel="0" collapsed="false">
      <c r="A44" s="2" t="s">
        <v>56</v>
      </c>
      <c r="B44" s="2" t="s">
        <v>57</v>
      </c>
      <c r="C44" s="6" t="n">
        <f aca="false">SUMIFS('Estimate costs'!E:E,'Estimate costs'!C:C,A44)</f>
        <v>0</v>
      </c>
      <c r="D44" s="2" t="s">
        <v>37</v>
      </c>
    </row>
    <row r="45" customFormat="false" ht="15" hidden="false" customHeight="false" outlineLevel="0" collapsed="false">
      <c r="A45" s="2" t="s">
        <v>58</v>
      </c>
      <c r="B45" s="2" t="s">
        <v>59</v>
      </c>
      <c r="C45" s="6" t="n">
        <f aca="false">SUMIFS('Estimate costs'!E:E,'Estimate costs'!C:C,A45)</f>
        <v>0</v>
      </c>
      <c r="D45" s="2" t="s">
        <v>49</v>
      </c>
    </row>
    <row r="46" customFormat="false" ht="15" hidden="false" customHeight="false" outlineLevel="0" collapsed="false">
      <c r="A46" s="2" t="s">
        <v>60</v>
      </c>
      <c r="B46" s="2" t="s">
        <v>61</v>
      </c>
      <c r="C46" s="6" t="n">
        <f aca="false">SUMIFS('Estimate costs'!E:E,'Estimate costs'!C:C,A46)</f>
        <v>120</v>
      </c>
      <c r="D46" s="2" t="s">
        <v>37</v>
      </c>
    </row>
    <row r="47" customFormat="false" ht="15" hidden="false" customHeight="false" outlineLevel="0" collapsed="false">
      <c r="A47" s="2" t="s">
        <v>62</v>
      </c>
      <c r="B47" s="2" t="s">
        <v>63</v>
      </c>
      <c r="C47" s="6" t="n">
        <f aca="false">SUMIFS('Estimate costs'!E:E,'Estimate costs'!C:C,A47)</f>
        <v>0</v>
      </c>
      <c r="D47" s="2" t="s">
        <v>64</v>
      </c>
    </row>
    <row r="48" customFormat="false" ht="15" hidden="false" customHeight="false" outlineLevel="0" collapsed="false">
      <c r="A48" s="2" t="s">
        <v>65</v>
      </c>
      <c r="B48" s="2" t="s">
        <v>66</v>
      </c>
      <c r="C48" s="6" t="n">
        <f aca="false">SUMIFS('Estimate costs'!E:E,'Estimate costs'!C:C,A48)</f>
        <v>46531.35</v>
      </c>
      <c r="D48" s="2" t="s">
        <v>37</v>
      </c>
    </row>
    <row r="49" customFormat="false" ht="15" hidden="false" customHeight="false" outlineLevel="0" collapsed="false">
      <c r="B49" s="3" t="s">
        <v>67</v>
      </c>
      <c r="C49" s="7" t="n">
        <f aca="false">SUM(C35:C48)</f>
        <v>315832.69</v>
      </c>
    </row>
    <row r="50" customFormat="false" ht="15" hidden="false" customHeight="false" outlineLevel="0" collapsed="false">
      <c r="B50" s="3" t="s">
        <v>68</v>
      </c>
      <c r="C50" s="7" t="n">
        <f aca="false">SUMIFS(C35:C48,D35:D48,"Yes")</f>
        <v>286634.2</v>
      </c>
    </row>
    <row r="51" customFormat="false" ht="15" hidden="false" customHeight="false" outlineLevel="0" collapsed="false">
      <c r="A51" s="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5" t="s">
        <v>24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</row>
    <row r="2" customFormat="false" ht="15" hidden="false" customHeight="false" outlineLevel="0" collapsed="false">
      <c r="A2" s="8" t="s">
        <v>77</v>
      </c>
      <c r="B2" s="8"/>
      <c r="C2" s="8"/>
      <c r="D2" s="8"/>
      <c r="E2" s="8" t="s">
        <v>78</v>
      </c>
      <c r="F2" s="8" t="s">
        <v>79</v>
      </c>
      <c r="G2" s="9" t="n">
        <v>475129.68</v>
      </c>
      <c r="H2" s="8"/>
    </row>
  </sheetData>
  <dataValidations count="1">
    <dataValidation allowBlank="false" errorStyle="stop" operator="between" showDropDown="false" showErrorMessage="false" showInputMessage="false" sqref="F2:F1000" type="list">
      <formula1>"Pending,Sold,Lost"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5" t="s">
        <v>24</v>
      </c>
      <c r="B1" s="5" t="s">
        <v>80</v>
      </c>
      <c r="C1" s="5" t="s">
        <v>81</v>
      </c>
      <c r="D1" s="5" t="s">
        <v>73</v>
      </c>
      <c r="E1" s="5" t="s">
        <v>75</v>
      </c>
      <c r="F1" s="5" t="s">
        <v>82</v>
      </c>
    </row>
    <row r="2" customFormat="false" ht="15" hidden="false" customHeight="false" outlineLevel="0" collapsed="false">
      <c r="A2" s="8" t="s">
        <v>77</v>
      </c>
      <c r="B2" s="8" t="n">
        <v>1</v>
      </c>
      <c r="C2" s="8" t="s">
        <v>83</v>
      </c>
      <c r="D2" s="8" t="s">
        <v>84</v>
      </c>
      <c r="E2" s="9" t="n">
        <v>5500</v>
      </c>
      <c r="F2" s="8"/>
    </row>
    <row r="3" customFormat="false" ht="15" hidden="false" customHeight="false" outlineLevel="0" collapsed="false">
      <c r="A3" s="8" t="s">
        <v>77</v>
      </c>
      <c r="B3" s="8" t="n">
        <v>2</v>
      </c>
      <c r="C3" s="8" t="s">
        <v>83</v>
      </c>
      <c r="D3" s="8" t="s">
        <v>85</v>
      </c>
      <c r="E3" s="9" t="n">
        <v>10830.68</v>
      </c>
      <c r="F3" s="8"/>
    </row>
    <row r="4" customFormat="false" ht="15" hidden="false" customHeight="false" outlineLevel="0" collapsed="false">
      <c r="A4" s="8" t="s">
        <v>77</v>
      </c>
      <c r="B4" s="8" t="n">
        <v>3</v>
      </c>
      <c r="C4" s="8" t="s">
        <v>83</v>
      </c>
      <c r="D4" s="8" t="s">
        <v>86</v>
      </c>
      <c r="E4" s="9" t="n">
        <v>17142.92</v>
      </c>
      <c r="F4" s="8"/>
    </row>
    <row r="5" customFormat="false" ht="15" hidden="false" customHeight="false" outlineLevel="0" collapsed="false">
      <c r="A5" s="8" t="s">
        <v>77</v>
      </c>
      <c r="B5" s="8" t="n">
        <v>4</v>
      </c>
      <c r="C5" s="8" t="s">
        <v>83</v>
      </c>
      <c r="D5" s="8" t="s">
        <v>87</v>
      </c>
      <c r="E5" s="9" t="n">
        <v>132820.88</v>
      </c>
      <c r="F5" s="8"/>
    </row>
    <row r="6" customFormat="false" ht="15" hidden="false" customHeight="false" outlineLevel="0" collapsed="false">
      <c r="A6" s="8" t="s">
        <v>77</v>
      </c>
      <c r="B6" s="8" t="n">
        <v>5</v>
      </c>
      <c r="C6" s="8" t="s">
        <v>83</v>
      </c>
      <c r="D6" s="8" t="s">
        <v>88</v>
      </c>
      <c r="E6" s="9" t="n">
        <v>73049.39</v>
      </c>
      <c r="F6" s="8"/>
    </row>
    <row r="7" customFormat="false" ht="15" hidden="false" customHeight="false" outlineLevel="0" collapsed="false">
      <c r="A7" s="8" t="s">
        <v>77</v>
      </c>
      <c r="B7" s="8" t="n">
        <v>6</v>
      </c>
      <c r="C7" s="8" t="s">
        <v>83</v>
      </c>
      <c r="D7" s="8" t="s">
        <v>89</v>
      </c>
      <c r="E7" s="9" t="n">
        <v>35233.92</v>
      </c>
      <c r="F7" s="8"/>
    </row>
    <row r="8" customFormat="false" ht="15" hidden="false" customHeight="false" outlineLevel="0" collapsed="false">
      <c r="A8" s="8" t="s">
        <v>77</v>
      </c>
      <c r="B8" s="8" t="n">
        <v>7</v>
      </c>
      <c r="C8" s="8" t="s">
        <v>83</v>
      </c>
      <c r="D8" s="8" t="s">
        <v>90</v>
      </c>
      <c r="E8" s="9" t="n">
        <v>12044.03</v>
      </c>
      <c r="F8" s="8"/>
    </row>
    <row r="9" customFormat="false" ht="15" hidden="false" customHeight="false" outlineLevel="0" collapsed="false">
      <c r="A9" s="8" t="s">
        <v>77</v>
      </c>
      <c r="B9" s="8" t="n">
        <v>8</v>
      </c>
      <c r="C9" s="8" t="s">
        <v>83</v>
      </c>
      <c r="D9" s="8" t="s">
        <v>91</v>
      </c>
      <c r="E9" s="9" t="n">
        <v>37409.43</v>
      </c>
      <c r="F9" s="8"/>
    </row>
    <row r="10" customFormat="false" ht="15" hidden="false" customHeight="false" outlineLevel="0" collapsed="false">
      <c r="A10" s="8" t="s">
        <v>77</v>
      </c>
      <c r="B10" s="8" t="n">
        <v>9</v>
      </c>
      <c r="C10" s="8" t="s">
        <v>83</v>
      </c>
      <c r="D10" s="8" t="s">
        <v>92</v>
      </c>
      <c r="E10" s="9" t="n">
        <v>52624</v>
      </c>
      <c r="F10" s="8"/>
    </row>
    <row r="11" customFormat="false" ht="15" hidden="false" customHeight="false" outlineLevel="0" collapsed="false">
      <c r="A11" s="8" t="s">
        <v>77</v>
      </c>
      <c r="B11" s="8" t="n">
        <v>10</v>
      </c>
      <c r="C11" s="8" t="s">
        <v>83</v>
      </c>
      <c r="D11" s="8" t="s">
        <v>93</v>
      </c>
      <c r="E11" s="9" t="n">
        <v>4042.39</v>
      </c>
      <c r="F11" s="8"/>
    </row>
    <row r="12" customFormat="false" ht="15" hidden="false" customHeight="false" outlineLevel="0" collapsed="false">
      <c r="A12" s="8" t="s">
        <v>77</v>
      </c>
      <c r="B12" s="8" t="n">
        <v>11</v>
      </c>
      <c r="C12" s="8" t="s">
        <v>83</v>
      </c>
      <c r="D12" s="8" t="s">
        <v>94</v>
      </c>
      <c r="E12" s="9" t="n">
        <v>23627.5</v>
      </c>
      <c r="F12" s="8"/>
    </row>
    <row r="13" customFormat="false" ht="15" hidden="false" customHeight="false" outlineLevel="0" collapsed="false">
      <c r="A13" s="8" t="s">
        <v>77</v>
      </c>
      <c r="B13" s="8" t="n">
        <v>12</v>
      </c>
      <c r="C13" s="8" t="s">
        <v>83</v>
      </c>
      <c r="D13" s="8" t="s">
        <v>95</v>
      </c>
      <c r="E13" s="9" t="n">
        <v>11825.46</v>
      </c>
      <c r="F13" s="8"/>
    </row>
    <row r="14" customFormat="false" ht="15" hidden="false" customHeight="false" outlineLevel="0" collapsed="false">
      <c r="A14" s="8" t="s">
        <v>77</v>
      </c>
      <c r="B14" s="8" t="n">
        <v>13</v>
      </c>
      <c r="C14" s="8" t="s">
        <v>83</v>
      </c>
      <c r="D14" s="8" t="s">
        <v>96</v>
      </c>
      <c r="E14" s="9" t="n">
        <v>23025.4</v>
      </c>
      <c r="F14" s="8"/>
    </row>
    <row r="15" customFormat="false" ht="15" hidden="false" customHeight="false" outlineLevel="0" collapsed="false">
      <c r="A15" s="8" t="s">
        <v>77</v>
      </c>
      <c r="B15" s="8" t="n">
        <v>14</v>
      </c>
      <c r="C15" s="8" t="s">
        <v>83</v>
      </c>
      <c r="D15" s="8" t="s">
        <v>97</v>
      </c>
      <c r="E15" s="9" t="n">
        <v>6971.88</v>
      </c>
      <c r="F15" s="8"/>
    </row>
    <row r="16" customFormat="false" ht="15" hidden="false" customHeight="false" outlineLevel="0" collapsed="false">
      <c r="A16" s="8" t="s">
        <v>77</v>
      </c>
      <c r="B16" s="8" t="n">
        <v>15</v>
      </c>
      <c r="C16" s="8" t="s">
        <v>83</v>
      </c>
      <c r="D16" s="8" t="s">
        <v>98</v>
      </c>
      <c r="E16" s="9" t="n">
        <v>12773.71</v>
      </c>
      <c r="F16" s="8"/>
    </row>
    <row r="17" customFormat="false" ht="15" hidden="false" customHeight="false" outlineLevel="0" collapsed="false">
      <c r="A17" s="8" t="s">
        <v>77</v>
      </c>
      <c r="B17" s="8" t="n">
        <v>16</v>
      </c>
      <c r="C17" s="8" t="s">
        <v>83</v>
      </c>
      <c r="D17" s="8" t="s">
        <v>99</v>
      </c>
      <c r="E17" s="9" t="n">
        <v>6548</v>
      </c>
      <c r="F17" s="8"/>
    </row>
    <row r="18" customFormat="false" ht="15" hidden="false" customHeight="false" outlineLevel="0" collapsed="false">
      <c r="A18" s="8" t="s">
        <v>77</v>
      </c>
      <c r="B18" s="8" t="n">
        <v>17</v>
      </c>
      <c r="C18" s="8" t="s">
        <v>100</v>
      </c>
      <c r="D18" s="8" t="s">
        <v>101</v>
      </c>
      <c r="E18" s="9" t="n">
        <v>15000</v>
      </c>
      <c r="F18" s="8"/>
    </row>
    <row r="19" customFormat="false" ht="15" hidden="false" customHeight="false" outlineLevel="0" collapsed="false">
      <c r="A19" s="8" t="s">
        <v>77</v>
      </c>
      <c r="B19" s="8" t="n">
        <v>18</v>
      </c>
      <c r="C19" s="8" t="s">
        <v>83</v>
      </c>
      <c r="D19" s="8" t="s">
        <v>102</v>
      </c>
      <c r="E19" s="9" t="n">
        <v>5475</v>
      </c>
      <c r="F19" s="8"/>
    </row>
    <row r="20" customFormat="false" ht="15" hidden="false" customHeight="false" outlineLevel="0" collapsed="false">
      <c r="A20" s="8" t="s">
        <v>77</v>
      </c>
      <c r="B20" s="8" t="n">
        <v>19</v>
      </c>
      <c r="C20" s="8" t="s">
        <v>83</v>
      </c>
      <c r="D20" s="8" t="s">
        <v>103</v>
      </c>
      <c r="E20" s="9" t="n">
        <v>499.4</v>
      </c>
      <c r="F20" s="8"/>
    </row>
    <row r="21" customFormat="false" ht="15" hidden="false" customHeight="false" outlineLevel="0" collapsed="false">
      <c r="A21" s="8" t="s">
        <v>77</v>
      </c>
      <c r="B21" s="8" t="n">
        <v>20</v>
      </c>
      <c r="C21" s="8" t="s">
        <v>83</v>
      </c>
      <c r="D21" s="8" t="s">
        <v>104</v>
      </c>
      <c r="E21" s="9" t="n">
        <v>0</v>
      </c>
      <c r="F21" s="8"/>
    </row>
    <row r="22" customFormat="false" ht="15" hidden="false" customHeight="false" outlineLevel="0" collapsed="false">
      <c r="A22" s="8" t="s">
        <v>77</v>
      </c>
      <c r="B22" s="8" t="n">
        <v>21</v>
      </c>
      <c r="C22" s="8" t="s">
        <v>83</v>
      </c>
      <c r="D22" s="8" t="s">
        <v>105</v>
      </c>
      <c r="E22" s="9" t="n">
        <v>3685.69</v>
      </c>
      <c r="F22" s="8"/>
    </row>
  </sheetData>
  <dataValidations count="1">
    <dataValidation allowBlank="false" errorStyle="stop" operator="between" showDropDown="false" showErrorMessage="false" showInputMessage="false" sqref="C2:C102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5" t="s">
        <v>24</v>
      </c>
      <c r="B1" s="5" t="s">
        <v>80</v>
      </c>
      <c r="C1" s="5" t="s">
        <v>31</v>
      </c>
      <c r="D1" s="5" t="s">
        <v>106</v>
      </c>
      <c r="E1" s="5" t="s">
        <v>33</v>
      </c>
      <c r="F1" s="5" t="s">
        <v>82</v>
      </c>
    </row>
    <row r="2" customFormat="false" ht="15" hidden="false" customHeight="false" outlineLevel="0" collapsed="false">
      <c r="A2" s="8" t="s">
        <v>77</v>
      </c>
      <c r="B2" s="8" t="n">
        <v>1</v>
      </c>
      <c r="C2" s="8" t="s">
        <v>35</v>
      </c>
      <c r="D2" s="9" t="n">
        <v>8</v>
      </c>
      <c r="E2" s="9" t="n">
        <v>386.83</v>
      </c>
      <c r="F2" s="8" t="s">
        <v>107</v>
      </c>
    </row>
    <row r="3" customFormat="false" ht="15" hidden="false" customHeight="false" outlineLevel="0" collapsed="false">
      <c r="A3" s="8" t="s">
        <v>77</v>
      </c>
      <c r="B3" s="8" t="n">
        <v>1</v>
      </c>
      <c r="C3" s="8" t="s">
        <v>50</v>
      </c>
      <c r="D3" s="9" t="n">
        <v>10</v>
      </c>
      <c r="E3" s="9" t="n">
        <v>726.19</v>
      </c>
      <c r="F3" s="8" t="s">
        <v>108</v>
      </c>
    </row>
    <row r="4" customFormat="false" ht="15" hidden="false" customHeight="false" outlineLevel="0" collapsed="false">
      <c r="A4" s="8" t="s">
        <v>77</v>
      </c>
      <c r="B4" s="8" t="n">
        <v>1</v>
      </c>
      <c r="C4" s="8" t="s">
        <v>47</v>
      </c>
      <c r="D4" s="9"/>
      <c r="E4" s="9" t="n">
        <v>162.1</v>
      </c>
      <c r="F4" s="8" t="s">
        <v>109</v>
      </c>
    </row>
    <row r="5" customFormat="false" ht="15" hidden="false" customHeight="false" outlineLevel="0" collapsed="false">
      <c r="A5" s="8" t="s">
        <v>77</v>
      </c>
      <c r="B5" s="8" t="n">
        <v>1</v>
      </c>
      <c r="C5" s="8" t="s">
        <v>52</v>
      </c>
      <c r="D5" s="9"/>
      <c r="E5" s="9" t="n">
        <v>260</v>
      </c>
      <c r="F5" s="8" t="s">
        <v>110</v>
      </c>
    </row>
    <row r="6" customFormat="false" ht="15" hidden="false" customHeight="false" outlineLevel="0" collapsed="false">
      <c r="A6" s="8" t="s">
        <v>77</v>
      </c>
      <c r="B6" s="8" t="n">
        <v>1</v>
      </c>
      <c r="C6" s="8" t="s">
        <v>52</v>
      </c>
      <c r="D6" s="9"/>
      <c r="E6" s="9" t="n">
        <v>2735</v>
      </c>
      <c r="F6" s="8" t="s">
        <v>111</v>
      </c>
    </row>
    <row r="7" customFormat="false" ht="15" hidden="false" customHeight="false" outlineLevel="0" collapsed="false">
      <c r="A7" s="8" t="s">
        <v>77</v>
      </c>
      <c r="B7" s="8" t="n">
        <v>2</v>
      </c>
      <c r="C7" s="8" t="s">
        <v>35</v>
      </c>
      <c r="D7" s="9" t="n">
        <v>18</v>
      </c>
      <c r="E7" s="9" t="n">
        <v>863.46</v>
      </c>
      <c r="F7" s="8" t="s">
        <v>112</v>
      </c>
    </row>
    <row r="8" customFormat="false" ht="15" hidden="false" customHeight="false" outlineLevel="0" collapsed="false">
      <c r="A8" s="8" t="s">
        <v>77</v>
      </c>
      <c r="B8" s="8" t="n">
        <v>2</v>
      </c>
      <c r="C8" s="8" t="s">
        <v>50</v>
      </c>
      <c r="D8" s="9" t="n">
        <v>10</v>
      </c>
      <c r="E8" s="9" t="n">
        <v>804.5</v>
      </c>
      <c r="F8" s="8" t="s">
        <v>113</v>
      </c>
    </row>
    <row r="9" customFormat="false" ht="15" hidden="false" customHeight="false" outlineLevel="0" collapsed="false">
      <c r="A9" s="8" t="s">
        <v>77</v>
      </c>
      <c r="B9" s="8" t="n">
        <v>2</v>
      </c>
      <c r="C9" s="8" t="s">
        <v>47</v>
      </c>
      <c r="D9" s="9"/>
      <c r="E9" s="9" t="n">
        <v>505.26</v>
      </c>
      <c r="F9" s="8" t="s">
        <v>114</v>
      </c>
    </row>
    <row r="10" customFormat="false" ht="15" hidden="false" customHeight="false" outlineLevel="0" collapsed="false">
      <c r="A10" s="8" t="s">
        <v>77</v>
      </c>
      <c r="B10" s="8" t="n">
        <v>2</v>
      </c>
      <c r="C10" s="8" t="s">
        <v>52</v>
      </c>
      <c r="D10" s="9"/>
      <c r="E10" s="9" t="n">
        <v>1440</v>
      </c>
      <c r="F10" s="8" t="s">
        <v>115</v>
      </c>
    </row>
    <row r="11" customFormat="false" ht="15" hidden="false" customHeight="false" outlineLevel="0" collapsed="false">
      <c r="A11" s="8" t="s">
        <v>77</v>
      </c>
      <c r="B11" s="8" t="n">
        <v>2</v>
      </c>
      <c r="C11" s="8" t="s">
        <v>41</v>
      </c>
      <c r="D11" s="9"/>
      <c r="E11" s="9" t="n">
        <v>2104.4</v>
      </c>
      <c r="F11" s="8" t="s">
        <v>116</v>
      </c>
    </row>
    <row r="12" customFormat="false" ht="15" hidden="false" customHeight="false" outlineLevel="0" collapsed="false">
      <c r="A12" s="8" t="s">
        <v>77</v>
      </c>
      <c r="B12" s="8" t="n">
        <v>2</v>
      </c>
      <c r="C12" s="8" t="s">
        <v>45</v>
      </c>
      <c r="D12" s="9"/>
      <c r="E12" s="9" t="n">
        <v>1500</v>
      </c>
      <c r="F12" s="8" t="s">
        <v>117</v>
      </c>
    </row>
    <row r="13" customFormat="false" ht="15" hidden="false" customHeight="false" outlineLevel="0" collapsed="false">
      <c r="A13" s="8" t="s">
        <v>77</v>
      </c>
      <c r="B13" s="8" t="n">
        <v>3</v>
      </c>
      <c r="C13" s="8" t="s">
        <v>35</v>
      </c>
      <c r="D13" s="9" t="n">
        <v>83</v>
      </c>
      <c r="E13" s="9" t="n">
        <v>4412.02</v>
      </c>
      <c r="F13" s="8" t="s">
        <v>118</v>
      </c>
    </row>
    <row r="14" customFormat="false" ht="15" hidden="false" customHeight="false" outlineLevel="0" collapsed="false">
      <c r="A14" s="8" t="s">
        <v>77</v>
      </c>
      <c r="B14" s="8" t="n">
        <v>3</v>
      </c>
      <c r="C14" s="8" t="s">
        <v>50</v>
      </c>
      <c r="D14" s="9" t="n">
        <v>27</v>
      </c>
      <c r="E14" s="9" t="n">
        <v>2413.51</v>
      </c>
      <c r="F14" s="8" t="s">
        <v>119</v>
      </c>
    </row>
    <row r="15" customFormat="false" ht="15" hidden="false" customHeight="false" outlineLevel="0" collapsed="false">
      <c r="A15" s="8" t="s">
        <v>77</v>
      </c>
      <c r="B15" s="8" t="n">
        <v>3</v>
      </c>
      <c r="C15" s="8" t="s">
        <v>47</v>
      </c>
      <c r="D15" s="9"/>
      <c r="E15" s="9" t="n">
        <v>3350.78</v>
      </c>
      <c r="F15" s="8" t="s">
        <v>120</v>
      </c>
    </row>
    <row r="16" customFormat="false" ht="15" hidden="false" customHeight="false" outlineLevel="0" collapsed="false">
      <c r="A16" s="8" t="s">
        <v>77</v>
      </c>
      <c r="B16" s="8" t="n">
        <v>4</v>
      </c>
      <c r="C16" s="8" t="s">
        <v>35</v>
      </c>
      <c r="D16" s="9" t="n">
        <v>135</v>
      </c>
      <c r="E16" s="9" t="n">
        <v>5975.15</v>
      </c>
      <c r="F16" s="8" t="s">
        <v>121</v>
      </c>
    </row>
    <row r="17" customFormat="false" ht="15" hidden="false" customHeight="false" outlineLevel="0" collapsed="false">
      <c r="A17" s="8" t="s">
        <v>77</v>
      </c>
      <c r="B17" s="8" t="n">
        <v>4</v>
      </c>
      <c r="C17" s="8" t="s">
        <v>50</v>
      </c>
      <c r="D17" s="9" t="n">
        <v>50</v>
      </c>
      <c r="E17" s="9" t="n">
        <v>4022.51</v>
      </c>
      <c r="F17" s="8" t="s">
        <v>122</v>
      </c>
    </row>
    <row r="18" customFormat="false" ht="15" hidden="false" customHeight="false" outlineLevel="0" collapsed="false">
      <c r="A18" s="8" t="s">
        <v>77</v>
      </c>
      <c r="B18" s="8" t="n">
        <v>4</v>
      </c>
      <c r="C18" s="8" t="s">
        <v>47</v>
      </c>
      <c r="D18" s="9"/>
      <c r="E18" s="9" t="n">
        <v>3846</v>
      </c>
      <c r="F18" s="8" t="s">
        <v>123</v>
      </c>
    </row>
    <row r="19" customFormat="false" ht="15" hidden="false" customHeight="false" outlineLevel="0" collapsed="false">
      <c r="A19" s="8" t="s">
        <v>77</v>
      </c>
      <c r="B19" s="8" t="n">
        <v>4</v>
      </c>
      <c r="C19" s="8" t="s">
        <v>41</v>
      </c>
      <c r="D19" s="9"/>
      <c r="E19" s="9" t="n">
        <v>13300</v>
      </c>
      <c r="F19" s="8" t="s">
        <v>124</v>
      </c>
    </row>
    <row r="20" customFormat="false" ht="15" hidden="false" customHeight="false" outlineLevel="0" collapsed="false">
      <c r="A20" s="8" t="s">
        <v>77</v>
      </c>
      <c r="B20" s="8" t="n">
        <v>4</v>
      </c>
      <c r="C20" s="8" t="s">
        <v>45</v>
      </c>
      <c r="D20" s="9"/>
      <c r="E20" s="9" t="n">
        <v>60170</v>
      </c>
      <c r="F20" s="8" t="s">
        <v>125</v>
      </c>
    </row>
    <row r="21" customFormat="false" ht="15" hidden="false" customHeight="false" outlineLevel="0" collapsed="false">
      <c r="A21" s="8" t="s">
        <v>77</v>
      </c>
      <c r="B21" s="8" t="n">
        <v>5</v>
      </c>
      <c r="C21" s="8" t="s">
        <v>65</v>
      </c>
      <c r="D21" s="9"/>
      <c r="E21" s="9" t="n">
        <v>46381.35</v>
      </c>
      <c r="F21" s="8" t="s">
        <v>126</v>
      </c>
    </row>
    <row r="22" customFormat="false" ht="15" hidden="false" customHeight="false" outlineLevel="0" collapsed="false">
      <c r="A22" s="8" t="s">
        <v>77</v>
      </c>
      <c r="B22" s="8" t="n">
        <v>6</v>
      </c>
      <c r="C22" s="8" t="s">
        <v>35</v>
      </c>
      <c r="D22" s="9" t="n">
        <v>102</v>
      </c>
      <c r="E22" s="9" t="n">
        <v>5541.73</v>
      </c>
      <c r="F22" s="8" t="s">
        <v>127</v>
      </c>
    </row>
    <row r="23" customFormat="false" ht="15" hidden="false" customHeight="false" outlineLevel="0" collapsed="false">
      <c r="A23" s="8" t="s">
        <v>77</v>
      </c>
      <c r="B23" s="8" t="n">
        <v>6</v>
      </c>
      <c r="C23" s="8" t="s">
        <v>50</v>
      </c>
      <c r="D23" s="9" t="n">
        <v>14</v>
      </c>
      <c r="E23" s="9" t="n">
        <v>1329.91</v>
      </c>
      <c r="F23" s="8" t="s">
        <v>128</v>
      </c>
    </row>
    <row r="24" customFormat="false" ht="15" hidden="false" customHeight="false" outlineLevel="0" collapsed="false">
      <c r="A24" s="8" t="s">
        <v>77</v>
      </c>
      <c r="B24" s="8" t="n">
        <v>6</v>
      </c>
      <c r="C24" s="8" t="s">
        <v>47</v>
      </c>
      <c r="D24" s="9"/>
      <c r="E24" s="9" t="n">
        <v>3800.7</v>
      </c>
      <c r="F24" s="8" t="s">
        <v>129</v>
      </c>
    </row>
    <row r="25" customFormat="false" ht="15" hidden="false" customHeight="false" outlineLevel="0" collapsed="false">
      <c r="A25" s="8" t="s">
        <v>77</v>
      </c>
      <c r="B25" s="8" t="n">
        <v>6</v>
      </c>
      <c r="C25" s="8" t="s">
        <v>52</v>
      </c>
      <c r="D25" s="9"/>
      <c r="E25" s="9" t="n">
        <v>958.5</v>
      </c>
      <c r="F25" s="8" t="s">
        <v>130</v>
      </c>
    </row>
    <row r="26" customFormat="false" ht="15" hidden="false" customHeight="false" outlineLevel="0" collapsed="false">
      <c r="A26" s="8" t="s">
        <v>77</v>
      </c>
      <c r="B26" s="8" t="n">
        <v>6</v>
      </c>
      <c r="C26" s="8" t="s">
        <v>41</v>
      </c>
      <c r="D26" s="9"/>
      <c r="E26" s="9" t="n">
        <v>10043</v>
      </c>
      <c r="F26" s="8" t="s">
        <v>131</v>
      </c>
    </row>
    <row r="27" customFormat="false" ht="15" hidden="false" customHeight="false" outlineLevel="0" collapsed="false">
      <c r="A27" s="8" t="s">
        <v>77</v>
      </c>
      <c r="B27" s="8" t="n">
        <v>7</v>
      </c>
      <c r="C27" s="8" t="s">
        <v>35</v>
      </c>
      <c r="D27" s="9" t="n">
        <v>30</v>
      </c>
      <c r="E27" s="9" t="n">
        <v>1385.44</v>
      </c>
      <c r="F27" s="8" t="s">
        <v>132</v>
      </c>
    </row>
    <row r="28" customFormat="false" ht="15" hidden="false" customHeight="false" outlineLevel="0" collapsed="false">
      <c r="A28" s="8" t="s">
        <v>77</v>
      </c>
      <c r="B28" s="8" t="n">
        <v>7</v>
      </c>
      <c r="C28" s="8" t="s">
        <v>50</v>
      </c>
      <c r="D28" s="9" t="n">
        <v>9</v>
      </c>
      <c r="E28" s="9" t="n">
        <v>731.88</v>
      </c>
      <c r="F28" s="8" t="s">
        <v>133</v>
      </c>
    </row>
    <row r="29" customFormat="false" ht="15" hidden="false" customHeight="false" outlineLevel="0" collapsed="false">
      <c r="A29" s="8" t="s">
        <v>77</v>
      </c>
      <c r="B29" s="8" t="n">
        <v>7</v>
      </c>
      <c r="C29" s="8" t="s">
        <v>47</v>
      </c>
      <c r="D29" s="9"/>
      <c r="E29" s="9" t="n">
        <v>360.09</v>
      </c>
      <c r="F29" s="8" t="s">
        <v>134</v>
      </c>
    </row>
    <row r="30" customFormat="false" ht="15" hidden="false" customHeight="false" outlineLevel="0" collapsed="false">
      <c r="A30" s="8" t="s">
        <v>77</v>
      </c>
      <c r="B30" s="8" t="n">
        <v>7</v>
      </c>
      <c r="C30" s="8" t="s">
        <v>41</v>
      </c>
      <c r="D30" s="9"/>
      <c r="E30" s="9" t="n">
        <v>1728</v>
      </c>
      <c r="F30" s="8" t="s">
        <v>135</v>
      </c>
    </row>
    <row r="31" customFormat="false" ht="15" hidden="false" customHeight="false" outlineLevel="0" collapsed="false">
      <c r="A31" s="8" t="s">
        <v>77</v>
      </c>
      <c r="B31" s="8" t="n">
        <v>7</v>
      </c>
      <c r="C31" s="8" t="s">
        <v>45</v>
      </c>
      <c r="D31" s="9"/>
      <c r="E31" s="9" t="n">
        <v>3700</v>
      </c>
      <c r="F31" s="8" t="s">
        <v>136</v>
      </c>
    </row>
    <row r="32" customFormat="false" ht="15" hidden="false" customHeight="false" outlineLevel="0" collapsed="false">
      <c r="A32" s="8" t="s">
        <v>77</v>
      </c>
      <c r="B32" s="8" t="n">
        <v>8</v>
      </c>
      <c r="C32" s="8" t="s">
        <v>35</v>
      </c>
      <c r="D32" s="9" t="n">
        <v>150</v>
      </c>
      <c r="E32" s="9" t="n">
        <v>6927.16</v>
      </c>
      <c r="F32" s="8" t="s">
        <v>137</v>
      </c>
    </row>
    <row r="33" customFormat="false" ht="15" hidden="false" customHeight="false" outlineLevel="0" collapsed="false">
      <c r="A33" s="8" t="s">
        <v>77</v>
      </c>
      <c r="B33" s="8" t="n">
        <v>8</v>
      </c>
      <c r="C33" s="8" t="s">
        <v>50</v>
      </c>
      <c r="D33" s="9" t="n">
        <v>35</v>
      </c>
      <c r="E33" s="9" t="n">
        <v>2933.23</v>
      </c>
      <c r="F33" s="8" t="s">
        <v>138</v>
      </c>
    </row>
    <row r="34" customFormat="false" ht="15" hidden="false" customHeight="false" outlineLevel="0" collapsed="false">
      <c r="A34" s="8" t="s">
        <v>77</v>
      </c>
      <c r="B34" s="8" t="n">
        <v>8</v>
      </c>
      <c r="C34" s="8" t="s">
        <v>47</v>
      </c>
      <c r="D34" s="9"/>
      <c r="E34" s="9" t="n">
        <v>1122.8</v>
      </c>
      <c r="F34" s="8" t="s">
        <v>114</v>
      </c>
    </row>
    <row r="35" customFormat="false" ht="15" hidden="false" customHeight="false" outlineLevel="0" collapsed="false">
      <c r="A35" s="8" t="s">
        <v>77</v>
      </c>
      <c r="B35" s="8" t="n">
        <v>8</v>
      </c>
      <c r="C35" s="8" t="s">
        <v>52</v>
      </c>
      <c r="D35" s="9"/>
      <c r="E35" s="9" t="n">
        <v>3198</v>
      </c>
      <c r="F35" s="8" t="s">
        <v>139</v>
      </c>
    </row>
    <row r="36" customFormat="false" ht="15" hidden="false" customHeight="false" outlineLevel="0" collapsed="false">
      <c r="A36" s="8" t="s">
        <v>77</v>
      </c>
      <c r="B36" s="8" t="n">
        <v>8</v>
      </c>
      <c r="C36" s="8" t="s">
        <v>41</v>
      </c>
      <c r="D36" s="9"/>
      <c r="E36" s="9" t="n">
        <v>8600</v>
      </c>
      <c r="F36" s="8" t="s">
        <v>140</v>
      </c>
    </row>
    <row r="37" customFormat="false" ht="15" hidden="false" customHeight="false" outlineLevel="0" collapsed="false">
      <c r="A37" s="8" t="s">
        <v>77</v>
      </c>
      <c r="B37" s="8" t="n">
        <v>9</v>
      </c>
      <c r="C37" s="8" t="s">
        <v>45</v>
      </c>
      <c r="D37" s="9"/>
      <c r="E37" s="9" t="n">
        <v>43010</v>
      </c>
      <c r="F37" s="8" t="s">
        <v>141</v>
      </c>
    </row>
    <row r="38" customFormat="false" ht="15" hidden="false" customHeight="false" outlineLevel="0" collapsed="false">
      <c r="A38" s="8" t="s">
        <v>77</v>
      </c>
      <c r="B38" s="8" t="n">
        <v>10</v>
      </c>
      <c r="C38" s="8" t="s">
        <v>35</v>
      </c>
      <c r="D38" s="9" t="n">
        <v>12</v>
      </c>
      <c r="E38" s="9" t="n">
        <v>610.47</v>
      </c>
      <c r="F38" s="8" t="s">
        <v>142</v>
      </c>
    </row>
    <row r="39" customFormat="false" ht="15" hidden="false" customHeight="false" outlineLevel="0" collapsed="false">
      <c r="A39" s="8" t="s">
        <v>77</v>
      </c>
      <c r="B39" s="8" t="n">
        <v>10</v>
      </c>
      <c r="C39" s="8" t="s">
        <v>45</v>
      </c>
      <c r="D39" s="9"/>
      <c r="E39" s="9" t="n">
        <v>1950</v>
      </c>
      <c r="F39" s="8" t="s">
        <v>143</v>
      </c>
    </row>
    <row r="40" customFormat="false" ht="15" hidden="false" customHeight="false" outlineLevel="0" collapsed="false">
      <c r="A40" s="8" t="s">
        <v>77</v>
      </c>
      <c r="B40" s="8" t="n">
        <v>11</v>
      </c>
      <c r="C40" s="8" t="s">
        <v>35</v>
      </c>
      <c r="D40" s="9" t="n">
        <v>18</v>
      </c>
      <c r="E40" s="9" t="n">
        <v>870.37</v>
      </c>
      <c r="F40" s="8" t="s">
        <v>144</v>
      </c>
    </row>
    <row r="41" customFormat="false" ht="15" hidden="false" customHeight="false" outlineLevel="0" collapsed="false">
      <c r="A41" s="8" t="s">
        <v>77</v>
      </c>
      <c r="B41" s="8" t="n">
        <v>11</v>
      </c>
      <c r="C41" s="8" t="s">
        <v>41</v>
      </c>
      <c r="D41" s="9"/>
      <c r="E41" s="9" t="n">
        <v>17470</v>
      </c>
      <c r="F41" s="8" t="s">
        <v>145</v>
      </c>
    </row>
    <row r="42" customFormat="false" ht="15" hidden="false" customHeight="false" outlineLevel="0" collapsed="false">
      <c r="A42" s="8" t="s">
        <v>77</v>
      </c>
      <c r="B42" s="8" t="n">
        <v>12</v>
      </c>
      <c r="C42" s="8" t="s">
        <v>35</v>
      </c>
      <c r="D42" s="9" t="n">
        <v>72</v>
      </c>
      <c r="E42" s="9" t="n">
        <v>3253.51</v>
      </c>
      <c r="F42" s="8" t="s">
        <v>146</v>
      </c>
    </row>
    <row r="43" customFormat="false" ht="15" hidden="false" customHeight="false" outlineLevel="0" collapsed="false">
      <c r="A43" s="8" t="s">
        <v>77</v>
      </c>
      <c r="B43" s="8" t="n">
        <v>12</v>
      </c>
      <c r="C43" s="8" t="s">
        <v>50</v>
      </c>
      <c r="D43" s="9" t="n">
        <v>9</v>
      </c>
      <c r="E43" s="9" t="n">
        <v>888.51</v>
      </c>
      <c r="F43" s="8" t="s">
        <v>147</v>
      </c>
    </row>
    <row r="44" customFormat="false" ht="15" hidden="false" customHeight="false" outlineLevel="0" collapsed="false">
      <c r="A44" s="8" t="s">
        <v>77</v>
      </c>
      <c r="B44" s="8" t="n">
        <v>12</v>
      </c>
      <c r="C44" s="8" t="s">
        <v>47</v>
      </c>
      <c r="D44" s="9"/>
      <c r="E44" s="9" t="n">
        <v>960.24</v>
      </c>
      <c r="F44" s="8" t="s">
        <v>134</v>
      </c>
    </row>
    <row r="45" customFormat="false" ht="15" hidden="false" customHeight="false" outlineLevel="0" collapsed="false">
      <c r="A45" s="8" t="s">
        <v>77</v>
      </c>
      <c r="B45" s="8" t="n">
        <v>12</v>
      </c>
      <c r="C45" s="8" t="s">
        <v>41</v>
      </c>
      <c r="D45" s="9"/>
      <c r="E45" s="9" t="n">
        <v>1890</v>
      </c>
      <c r="F45" s="8" t="s">
        <v>148</v>
      </c>
    </row>
    <row r="46" customFormat="false" ht="15" hidden="false" customHeight="false" outlineLevel="0" collapsed="false">
      <c r="A46" s="8" t="s">
        <v>77</v>
      </c>
      <c r="B46" s="8" t="n">
        <v>13</v>
      </c>
      <c r="C46" s="8" t="s">
        <v>45</v>
      </c>
      <c r="D46" s="9"/>
      <c r="E46" s="9" t="n">
        <v>12810</v>
      </c>
      <c r="F46" s="8" t="s">
        <v>149</v>
      </c>
    </row>
    <row r="47" customFormat="false" ht="15" hidden="false" customHeight="false" outlineLevel="0" collapsed="false">
      <c r="A47" s="8" t="s">
        <v>77</v>
      </c>
      <c r="B47" s="8" t="n">
        <v>13</v>
      </c>
      <c r="C47" s="8" t="s">
        <v>41</v>
      </c>
      <c r="D47" s="9"/>
      <c r="E47" s="9" t="n">
        <v>1600</v>
      </c>
      <c r="F47" s="8" t="s">
        <v>150</v>
      </c>
    </row>
    <row r="48" customFormat="false" ht="15" hidden="false" customHeight="false" outlineLevel="0" collapsed="false">
      <c r="A48" s="8" t="s">
        <v>77</v>
      </c>
      <c r="B48" s="8" t="n">
        <v>14</v>
      </c>
      <c r="C48" s="8" t="s">
        <v>45</v>
      </c>
      <c r="D48" s="9"/>
      <c r="E48" s="9" t="n">
        <v>4825</v>
      </c>
      <c r="F48" s="8" t="s">
        <v>151</v>
      </c>
    </row>
    <row r="49" customFormat="false" ht="15" hidden="false" customHeight="false" outlineLevel="0" collapsed="false">
      <c r="A49" s="8" t="s">
        <v>77</v>
      </c>
      <c r="B49" s="8" t="n">
        <v>15</v>
      </c>
      <c r="C49" s="8" t="s">
        <v>35</v>
      </c>
      <c r="D49" s="9" t="n">
        <v>27</v>
      </c>
      <c r="E49" s="9" t="n">
        <v>1305.55</v>
      </c>
      <c r="F49" s="8" t="s">
        <v>144</v>
      </c>
    </row>
    <row r="50" customFormat="false" ht="15" hidden="false" customHeight="false" outlineLevel="0" collapsed="false">
      <c r="A50" s="8" t="s">
        <v>77</v>
      </c>
      <c r="B50" s="8" t="n">
        <v>15</v>
      </c>
      <c r="C50" s="8" t="s">
        <v>50</v>
      </c>
      <c r="D50" s="9" t="n">
        <v>10</v>
      </c>
      <c r="E50" s="9" t="n">
        <v>525.37</v>
      </c>
      <c r="F50" s="8" t="s">
        <v>152</v>
      </c>
    </row>
    <row r="51" customFormat="false" ht="15" hidden="false" customHeight="false" outlineLevel="0" collapsed="false">
      <c r="A51" s="8" t="s">
        <v>77</v>
      </c>
      <c r="B51" s="8" t="n">
        <v>15</v>
      </c>
      <c r="C51" s="8" t="s">
        <v>47</v>
      </c>
      <c r="D51" s="9" t="n">
        <v>5</v>
      </c>
      <c r="E51" s="9" t="n">
        <v>161.65</v>
      </c>
      <c r="F51" s="8" t="s">
        <v>153</v>
      </c>
    </row>
    <row r="52" customFormat="false" ht="15" hidden="false" customHeight="false" outlineLevel="0" collapsed="false">
      <c r="A52" s="8" t="s">
        <v>77</v>
      </c>
      <c r="B52" s="8" t="n">
        <v>15</v>
      </c>
      <c r="C52" s="8" t="s">
        <v>41</v>
      </c>
      <c r="D52" s="9"/>
      <c r="E52" s="9" t="n">
        <v>5079</v>
      </c>
      <c r="F52" s="8" t="s">
        <v>154</v>
      </c>
    </row>
    <row r="53" customFormat="false" ht="15" hidden="false" customHeight="false" outlineLevel="0" collapsed="false">
      <c r="A53" s="8" t="s">
        <v>77</v>
      </c>
      <c r="B53" s="8" t="n">
        <v>16</v>
      </c>
      <c r="C53" s="8" t="s">
        <v>45</v>
      </c>
      <c r="D53" s="9"/>
      <c r="E53" s="9" t="n">
        <v>5000</v>
      </c>
      <c r="F53" s="8" t="s">
        <v>155</v>
      </c>
    </row>
    <row r="54" customFormat="false" ht="15" hidden="false" customHeight="false" outlineLevel="0" collapsed="false">
      <c r="A54" s="8" t="s">
        <v>77</v>
      </c>
      <c r="B54" s="8" t="n">
        <v>18</v>
      </c>
      <c r="C54" s="8" t="s">
        <v>35</v>
      </c>
      <c r="D54" s="9" t="n">
        <v>18</v>
      </c>
      <c r="E54" s="9" t="n">
        <v>863.46</v>
      </c>
      <c r="F54" s="8" t="s">
        <v>156</v>
      </c>
    </row>
    <row r="55" customFormat="false" ht="15" hidden="false" customHeight="false" outlineLevel="0" collapsed="false">
      <c r="A55" s="8" t="s">
        <v>77</v>
      </c>
      <c r="B55" s="8" t="n">
        <v>18</v>
      </c>
      <c r="C55" s="8" t="s">
        <v>50</v>
      </c>
      <c r="D55" s="9" t="n">
        <v>1</v>
      </c>
      <c r="E55" s="9" t="n">
        <v>233.18</v>
      </c>
      <c r="F55" s="8" t="s">
        <v>157</v>
      </c>
    </row>
    <row r="56" customFormat="false" ht="15" hidden="false" customHeight="false" outlineLevel="0" collapsed="false">
      <c r="A56" s="8" t="s">
        <v>77</v>
      </c>
      <c r="B56" s="8" t="n">
        <v>18</v>
      </c>
      <c r="C56" s="8" t="s">
        <v>47</v>
      </c>
      <c r="D56" s="9"/>
      <c r="E56" s="9" t="n">
        <v>320.08</v>
      </c>
      <c r="F56" s="8" t="s">
        <v>134</v>
      </c>
    </row>
    <row r="57" customFormat="false" ht="15" hidden="false" customHeight="false" outlineLevel="0" collapsed="false">
      <c r="A57" s="8" t="s">
        <v>77</v>
      </c>
      <c r="B57" s="8" t="n">
        <v>18</v>
      </c>
      <c r="C57" s="8" t="s">
        <v>52</v>
      </c>
      <c r="D57" s="9"/>
      <c r="E57" s="9" t="n">
        <v>1900</v>
      </c>
      <c r="F57" s="8" t="s">
        <v>158</v>
      </c>
    </row>
    <row r="58" customFormat="false" ht="15" hidden="false" customHeight="false" outlineLevel="0" collapsed="false">
      <c r="A58" s="8" t="s">
        <v>77</v>
      </c>
      <c r="B58" s="8" t="n">
        <v>18</v>
      </c>
      <c r="C58" s="8" t="s">
        <v>65</v>
      </c>
      <c r="D58" s="9"/>
      <c r="E58" s="9" t="n">
        <v>150</v>
      </c>
      <c r="F58" s="8" t="s">
        <v>159</v>
      </c>
    </row>
    <row r="59" customFormat="false" ht="15" hidden="false" customHeight="false" outlineLevel="0" collapsed="false">
      <c r="A59" s="8" t="s">
        <v>77</v>
      </c>
      <c r="B59" s="8" t="n">
        <v>19</v>
      </c>
      <c r="C59" s="8" t="s">
        <v>60</v>
      </c>
      <c r="D59" s="9"/>
      <c r="E59" s="9" t="n">
        <v>120</v>
      </c>
      <c r="F59" s="8" t="s">
        <v>160</v>
      </c>
    </row>
    <row r="60" customFormat="false" ht="15" hidden="false" customHeight="false" outlineLevel="0" collapsed="false">
      <c r="A60" s="8" t="s">
        <v>77</v>
      </c>
      <c r="B60" s="8" t="n">
        <v>19</v>
      </c>
      <c r="C60" s="8" t="s">
        <v>35</v>
      </c>
      <c r="D60" s="9" t="n">
        <v>3</v>
      </c>
      <c r="E60" s="9" t="n">
        <v>190.4</v>
      </c>
      <c r="F60" s="8" t="s">
        <v>161</v>
      </c>
    </row>
    <row r="61" customFormat="false" ht="15" hidden="false" customHeight="false" outlineLevel="0" collapsed="false">
      <c r="A61" s="8" t="s">
        <v>77</v>
      </c>
      <c r="B61" s="8" t="n">
        <v>21</v>
      </c>
      <c r="C61" s="8" t="s">
        <v>41</v>
      </c>
      <c r="D61" s="9"/>
      <c r="E61" s="9" t="n">
        <v>2126.4</v>
      </c>
      <c r="F61" s="8" t="s">
        <v>162</v>
      </c>
    </row>
  </sheetData>
  <dataValidations count="1">
    <dataValidation allowBlank="false" errorStyle="stop" operator="between" showDropDown="false" showErrorMessage="false" showInputMessage="false" sqref="C2:C1061" type="list">
      <formula1>"210,220,230,235,240,245,247,250,255,260,265,270,280,290"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2026-09-25T15:09:46Z</dcterms:created>
  <dc:creator>openpyxl</dc:creator>
  <dc:description/>
  <dc:language>en-US</dc:language>
  <cp:lastModifiedBy/>
  <dcterms:modified xsi:type="dcterms:W3CDTF">2026-09-25T15:09:46Z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