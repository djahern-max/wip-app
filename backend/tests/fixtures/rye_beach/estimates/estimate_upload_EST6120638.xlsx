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Estimates" sheetId="2" state="visible" r:id="rId4"/>
    <sheet name="Work areas" sheetId="3" state="visible" r:id="rId5"/>
    <sheet name="Estimate cos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2" authorId="0">
      <text>
        <r>
          <rPr>
            <sz val="10"/>
            <rFont val="Arial"/>
            <family val="2"/>
          </rPr>
          <t xml:space="preserve">Descriptive name supplied for the fixture; client and jobsite left blank (fixtures are anonymized). Estimator from the closing report.</t>
        </r>
      </text>
    </comment>
  </commentList>
</comments>
</file>

<file path=xl/sharedStrings.xml><?xml version="1.0" encoding="utf-8"?>
<sst xmlns="http://schemas.openxmlformats.org/spreadsheetml/2006/main" count="240" uniqueCount="100">
  <si>
    <t xml:space="preserve">Estimate upload template — fixture EST6120638</t>
  </si>
  <si>
    <t xml:space="preserve">Second fixture. Column meanings are in the 67 Elm Street template's Read me; this sheet holds only the checks.</t>
  </si>
  <si>
    <t xml:space="preserve">Work areas 6, 7, 10 and 20–23 are omitted (kept = N): the seven rows the contract excludes, 186,727.99. Kept work areas total 366,889.80, the contract total.</t>
  </si>
  <si>
    <t xml:space="preserve">Change orders 24–32 are named 'C/O …'; 26–30 are priced 0.00 and carry no cost lines. Coded as an LS (landscape) estimate.</t>
  </si>
  <si>
    <t xml:space="preserve">Every cost line is a placeholder on 190 (LS Other) carrying the estimating system's one cost figure per work area; the owner replaces each with lines by cost code. Until then the estimate is under EST_NO_CATEGORY_SPLIT in spirit: the split is not real.</t>
  </si>
  <si>
    <t xml:space="preserve">Control checks</t>
  </si>
  <si>
    <t xml:space="preserve">estimate_id</t>
  </si>
  <si>
    <t xml:space="preserve">price on 'Estimates'</t>
  </si>
  <si>
    <t xml:space="preserve">kept work-area prices</t>
  </si>
  <si>
    <t xml:space="preserve">difference</t>
  </si>
  <si>
    <t xml:space="preserve">cost lines total</t>
  </si>
  <si>
    <t xml:space="preserve">kept, priced work areas without a cost line</t>
  </si>
  <si>
    <t xml:space="preserve">Estimated cost by cost category (kept work areas), D-04 treatment</t>
  </si>
  <si>
    <t xml:space="preserve">cost_code</t>
  </si>
  <si>
    <t xml:space="preserve">cost category</t>
  </si>
  <si>
    <t xml:space="preserve">amount</t>
  </si>
  <si>
    <t xml:space="preserve">in WIP basis (D-04)</t>
  </si>
  <si>
    <t xml:space="preserve">110</t>
  </si>
  <si>
    <t xml:space="preserve">Labor</t>
  </si>
  <si>
    <t xml:space="preserve">Yes</t>
  </si>
  <si>
    <t xml:space="preserve">120</t>
  </si>
  <si>
    <t xml:space="preserve">Labor Burden</t>
  </si>
  <si>
    <t xml:space="preserve">Not decided (D-05)</t>
  </si>
  <si>
    <t xml:space="preserve">130</t>
  </si>
  <si>
    <t xml:space="preserve">Materials</t>
  </si>
  <si>
    <t xml:space="preserve">135</t>
  </si>
  <si>
    <t xml:space="preserve">Supplies</t>
  </si>
  <si>
    <t xml:space="preserve">140</t>
  </si>
  <si>
    <t xml:space="preserve">Subcontractors</t>
  </si>
  <si>
    <t xml:space="preserve">145</t>
  </si>
  <si>
    <t xml:space="preserve">Equipment (owned)</t>
  </si>
  <si>
    <t xml:space="preserve">No</t>
  </si>
  <si>
    <t xml:space="preserve">147</t>
  </si>
  <si>
    <t xml:space="preserve">Vehicles (owned)</t>
  </si>
  <si>
    <t xml:space="preserve">150</t>
  </si>
  <si>
    <t xml:space="preserve">Equipment Rental</t>
  </si>
  <si>
    <t xml:space="preserve">155</t>
  </si>
  <si>
    <t xml:space="preserve">Equipment Maintenance</t>
  </si>
  <si>
    <t xml:space="preserve">160</t>
  </si>
  <si>
    <t xml:space="preserve">Disposal</t>
  </si>
  <si>
    <t xml:space="preserve">165</t>
  </si>
  <si>
    <t xml:space="preserve">Fuel</t>
  </si>
  <si>
    <t xml:space="preserve">170</t>
  </si>
  <si>
    <t xml:space="preserve">Permits &amp; Bonds</t>
  </si>
  <si>
    <t xml:space="preserve">180</t>
  </si>
  <si>
    <t xml:space="preserve">Warranty</t>
  </si>
  <si>
    <t xml:space="preserve">Not decided (D-04)</t>
  </si>
  <si>
    <t xml:space="preserve">190</t>
  </si>
  <si>
    <t xml:space="preserve">Other</t>
  </si>
  <si>
    <t xml:space="preserve">Total estimated cost</t>
  </si>
  <si>
    <t xml:space="preserve">estimator</t>
  </si>
  <si>
    <t xml:space="preserve">client</t>
  </si>
  <si>
    <t xml:space="preserve">jobsite</t>
  </si>
  <si>
    <t xml:space="preserve">name</t>
  </si>
  <si>
    <t xml:space="preserve">status</t>
  </si>
  <si>
    <t xml:space="preserve">price</t>
  </si>
  <si>
    <t xml:space="preserve">estimate_date</t>
  </si>
  <si>
    <t xml:space="preserve">EST6120638</t>
  </si>
  <si>
    <t xml:space="preserve">Stephanie Sanford</t>
  </si>
  <si>
    <t xml:space="preserve">Residential landscape, terrace and walls</t>
  </si>
  <si>
    <t xml:space="preserve">Sold</t>
  </si>
  <si>
    <t xml:space="preserve">order</t>
  </si>
  <si>
    <t xml:space="preserve">kept</t>
  </si>
  <si>
    <t xml:space="preserve">notes</t>
  </si>
  <si>
    <t xml:space="preserve">Y</t>
  </si>
  <si>
    <t xml:space="preserve">MOBILIZATION</t>
  </si>
  <si>
    <t xml:space="preserve">FRONT SLOPE SECUREMENT 6-3-26</t>
  </si>
  <si>
    <t xml:space="preserve">TEMP IRRIGATION 6-24-26</t>
  </si>
  <si>
    <t xml:space="preserve">ELECTRICAL CONDUIT FOR SHED &amp; GENERATOR</t>
  </si>
  <si>
    <t xml:space="preserve">MOVING EXISTING GRANITE DECK STEPS</t>
  </si>
  <si>
    <t xml:space="preserve">N</t>
  </si>
  <si>
    <t xml:space="preserve">TERRACE</t>
  </si>
  <si>
    <t xml:space="preserve">TERRACE BLUESTONE OPTION</t>
  </si>
  <si>
    <t xml:space="preserve">TERRACE LANDINGS</t>
  </si>
  <si>
    <t xml:space="preserve">TERRACE LANDINGS BLUESTONE OPTION</t>
  </si>
  <si>
    <t xml:space="preserve">TERRACE 8' GRANITE STEPS</t>
  </si>
  <si>
    <t xml:space="preserve">TERRACE STAIRCASE BOULDER SUPPORT WALLS</t>
  </si>
  <si>
    <t xml:space="preserve">RELOCATE &amp; EXTEND BOULDER WALL BY BASEMENT</t>
  </si>
  <si>
    <t xml:space="preserve">BOULDER WALL PROTECTING UTILITY ZONE</t>
  </si>
  <si>
    <t xml:space="preserve">DRIP EDGE &amp; STONE AROUND UTILITIES, DRIVEWAY &amp; SHED</t>
  </si>
  <si>
    <t xml:space="preserve">STONE WATER BARS</t>
  </si>
  <si>
    <t xml:space="preserve">ADDITIONAL RIP RAP</t>
  </si>
  <si>
    <t xml:space="preserve">IRRIGATION</t>
  </si>
  <si>
    <t xml:space="preserve">PLANTING</t>
  </si>
  <si>
    <t xml:space="preserve">LOAM &amp; SEED</t>
  </si>
  <si>
    <t xml:space="preserve">BOULDERS FOR THE TOP OF SLOPE &amp; WELL</t>
  </si>
  <si>
    <t xml:space="preserve">DRIVEWAY RETAINING WALLS</t>
  </si>
  <si>
    <t xml:space="preserve">LOAM, ERNST SEED 181 &amp; JUTE NETTING</t>
  </si>
  <si>
    <t xml:space="preserve">C/O KNEE WALL AT EAST END OF PATIO</t>
  </si>
  <si>
    <t xml:space="preserve">C/O Chopped Curb Patio Walls</t>
  </si>
  <si>
    <t xml:space="preserve">C/O 8' TO 5' GRANITE STAIRS FROM PATIO TO LOWER YARD</t>
  </si>
  <si>
    <t xml:space="preserve">C/O INSTALLATION OF LOW VOLT LIGHTING</t>
  </si>
  <si>
    <t xml:space="preserve">C/O INSTALLATION OF 5 GAS LINES</t>
  </si>
  <si>
    <t xml:space="preserve">C/O INSTALLATION OF 2" CONDUIT FOR FUTURE HOT TUB</t>
  </si>
  <si>
    <t xml:space="preserve">C/O BACK BASEMENT WALL REVISIONS</t>
  </si>
  <si>
    <t xml:space="preserve">C/O DRAINAGE PIPE UNDER DECK BY PATIO</t>
  </si>
  <si>
    <t xml:space="preserve">C/O FAUX GRANITE OVER SEPTIC PIPE</t>
  </si>
  <si>
    <t xml:space="preserve">C/O Extend Bluestone Terrace To 25x28</t>
  </si>
  <si>
    <t xml:space="preserve">hours</t>
  </si>
  <si>
    <t xml:space="preserve">PLACEHOLDER: LMN work-area cost, not split by code; owner splits from LMN item detail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</si>
</sst>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;\-"/>
    <numFmt numFmtId="166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3" t="s">
        <v>4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5" t="s">
        <v>6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</row>
    <row r="9" customFormat="false" ht="15" hidden="false" customHeight="false" outlineLevel="0" collapsed="false">
      <c r="A9" s="2" t="str">
        <f aca="false">Estimates!A2</f>
        <v>EST6120638</v>
      </c>
      <c r="B9" s="6" t="n">
        <f aca="false">Estimates!G2</f>
        <v>366889.8</v>
      </c>
      <c r="C9" s="6" t="n">
        <f aca="false">SUMIFS('Work areas'!E:E,'Work areas'!A:A,A9,'Work areas'!C:C,"Y")</f>
        <v>366889.8</v>
      </c>
      <c r="D9" s="6" t="n">
        <f aca="false">B9-C9</f>
        <v>0</v>
      </c>
      <c r="E9" s="6" t="n">
        <f aca="false">SUMIFS('Estimate costs'!E:E,'Estimate costs'!A:A,A9)</f>
        <v>212639.82</v>
      </c>
      <c r="F9" s="2" t="n">
        <f aca="false">SUMPRODUCT(('Work areas'!A2:A200=A9)*('Work areas'!C2:C200="Y")*('Work areas'!E2:E200&gt;0)*(COUNTIFS('Estimate costs'!A:A,A9,'Estimate costs'!B:B,'Work areas'!B2:B200)=0))</f>
        <v>0</v>
      </c>
    </row>
    <row r="11" customFormat="false" ht="15" hidden="false" customHeight="false" outlineLevel="0" collapsed="false">
      <c r="A11" s="4" t="s">
        <v>12</v>
      </c>
    </row>
    <row r="12" customFormat="false" ht="15" hidden="false" customHeight="false" outlineLevel="0" collapsed="false">
      <c r="A12" s="5" t="s">
        <v>13</v>
      </c>
      <c r="B12" s="5" t="s">
        <v>14</v>
      </c>
      <c r="C12" s="5" t="s">
        <v>15</v>
      </c>
      <c r="D12" s="5" t="s">
        <v>16</v>
      </c>
    </row>
    <row r="13" customFormat="false" ht="15" hidden="false" customHeight="false" outlineLevel="0" collapsed="false">
      <c r="A13" s="2" t="s">
        <v>17</v>
      </c>
      <c r="B13" s="2" t="s">
        <v>18</v>
      </c>
      <c r="C13" s="6" t="n">
        <f aca="false">SUMIFS('Estimate costs'!E:E,'Estimate costs'!C:C,A13)</f>
        <v>0</v>
      </c>
      <c r="D13" s="2" t="s">
        <v>19</v>
      </c>
    </row>
    <row r="14" customFormat="false" ht="15" hidden="false" customHeight="false" outlineLevel="0" collapsed="false">
      <c r="A14" s="2" t="s">
        <v>20</v>
      </c>
      <c r="B14" s="2" t="s">
        <v>21</v>
      </c>
      <c r="C14" s="6" t="n">
        <f aca="false">SUMIFS('Estimate costs'!E:E,'Estimate costs'!C:C,A14)</f>
        <v>0</v>
      </c>
      <c r="D14" s="2" t="s">
        <v>22</v>
      </c>
    </row>
    <row r="15" customFormat="false" ht="15" hidden="false" customHeight="false" outlineLevel="0" collapsed="false">
      <c r="A15" s="2" t="s">
        <v>23</v>
      </c>
      <c r="B15" s="2" t="s">
        <v>24</v>
      </c>
      <c r="C15" s="6" t="n">
        <f aca="false">SUMIFS('Estimate costs'!E:E,'Estimate costs'!C:C,A15)</f>
        <v>0</v>
      </c>
      <c r="D15" s="2" t="s">
        <v>19</v>
      </c>
    </row>
    <row r="16" customFormat="false" ht="15" hidden="false" customHeight="false" outlineLevel="0" collapsed="false">
      <c r="A16" s="2" t="s">
        <v>25</v>
      </c>
      <c r="B16" s="2" t="s">
        <v>26</v>
      </c>
      <c r="C16" s="6" t="n">
        <f aca="false">SUMIFS('Estimate costs'!E:E,'Estimate costs'!C:C,A16)</f>
        <v>0</v>
      </c>
      <c r="D16" s="2" t="s">
        <v>19</v>
      </c>
    </row>
    <row r="17" customFormat="false" ht="15" hidden="false" customHeight="false" outlineLevel="0" collapsed="false">
      <c r="A17" s="2" t="s">
        <v>27</v>
      </c>
      <c r="B17" s="2" t="s">
        <v>28</v>
      </c>
      <c r="C17" s="6" t="n">
        <f aca="false">SUMIFS('Estimate costs'!E:E,'Estimate costs'!C:C,A17)</f>
        <v>0</v>
      </c>
      <c r="D17" s="2" t="s">
        <v>19</v>
      </c>
    </row>
    <row r="18" customFormat="false" ht="15" hidden="false" customHeight="false" outlineLevel="0" collapsed="false">
      <c r="A18" s="2" t="s">
        <v>29</v>
      </c>
      <c r="B18" s="2" t="s">
        <v>30</v>
      </c>
      <c r="C18" s="6" t="n">
        <f aca="false">SUMIFS('Estimate costs'!E:E,'Estimate costs'!C:C,A18)</f>
        <v>0</v>
      </c>
      <c r="D18" s="2" t="s">
        <v>31</v>
      </c>
    </row>
    <row r="19" customFormat="false" ht="15" hidden="false" customHeight="false" outlineLevel="0" collapsed="false">
      <c r="A19" s="2" t="s">
        <v>32</v>
      </c>
      <c r="B19" s="2" t="s">
        <v>33</v>
      </c>
      <c r="C19" s="6" t="n">
        <f aca="false">SUMIFS('Estimate costs'!E:E,'Estimate costs'!C:C,A19)</f>
        <v>0</v>
      </c>
      <c r="D19" s="2" t="s">
        <v>31</v>
      </c>
    </row>
    <row r="20" customFormat="false" ht="15" hidden="false" customHeight="false" outlineLevel="0" collapsed="false">
      <c r="A20" s="2" t="s">
        <v>34</v>
      </c>
      <c r="B20" s="2" t="s">
        <v>35</v>
      </c>
      <c r="C20" s="6" t="n">
        <f aca="false">SUMIFS('Estimate costs'!E:E,'Estimate costs'!C:C,A20)</f>
        <v>0</v>
      </c>
      <c r="D20" s="2" t="s">
        <v>19</v>
      </c>
    </row>
    <row r="21" customFormat="false" ht="15" hidden="false" customHeight="false" outlineLevel="0" collapsed="false">
      <c r="A21" s="2" t="s">
        <v>36</v>
      </c>
      <c r="B21" s="2" t="s">
        <v>37</v>
      </c>
      <c r="C21" s="6" t="n">
        <f aca="false">SUMIFS('Estimate costs'!E:E,'Estimate costs'!C:C,A21)</f>
        <v>0</v>
      </c>
      <c r="D21" s="2" t="s">
        <v>31</v>
      </c>
    </row>
    <row r="22" customFormat="false" ht="15" hidden="false" customHeight="false" outlineLevel="0" collapsed="false">
      <c r="A22" s="2" t="s">
        <v>38</v>
      </c>
      <c r="B22" s="2" t="s">
        <v>39</v>
      </c>
      <c r="C22" s="6" t="n">
        <f aca="false">SUMIFS('Estimate costs'!E:E,'Estimate costs'!C:C,A22)</f>
        <v>0</v>
      </c>
      <c r="D22" s="2" t="s">
        <v>19</v>
      </c>
    </row>
    <row r="23" customFormat="false" ht="15" hidden="false" customHeight="false" outlineLevel="0" collapsed="false">
      <c r="A23" s="2" t="s">
        <v>40</v>
      </c>
      <c r="B23" s="2" t="s">
        <v>41</v>
      </c>
      <c r="C23" s="6" t="n">
        <f aca="false">SUMIFS('Estimate costs'!E:E,'Estimate costs'!C:C,A23)</f>
        <v>0</v>
      </c>
      <c r="D23" s="2" t="s">
        <v>31</v>
      </c>
    </row>
    <row r="24" customFormat="false" ht="15" hidden="false" customHeight="false" outlineLevel="0" collapsed="false">
      <c r="A24" s="2" t="s">
        <v>42</v>
      </c>
      <c r="B24" s="2" t="s">
        <v>43</v>
      </c>
      <c r="C24" s="6" t="n">
        <f aca="false">SUMIFS('Estimate costs'!E:E,'Estimate costs'!C:C,A24)</f>
        <v>0</v>
      </c>
      <c r="D24" s="2" t="s">
        <v>19</v>
      </c>
    </row>
    <row r="25" customFormat="false" ht="15" hidden="false" customHeight="false" outlineLevel="0" collapsed="false">
      <c r="A25" s="2" t="s">
        <v>44</v>
      </c>
      <c r="B25" s="2" t="s">
        <v>45</v>
      </c>
      <c r="C25" s="6" t="n">
        <f aca="false">SUMIFS('Estimate costs'!E:E,'Estimate costs'!C:C,A25)</f>
        <v>0</v>
      </c>
      <c r="D25" s="2" t="s">
        <v>46</v>
      </c>
    </row>
    <row r="26" customFormat="false" ht="15" hidden="false" customHeight="false" outlineLevel="0" collapsed="false">
      <c r="A26" s="2" t="s">
        <v>47</v>
      </c>
      <c r="B26" s="2" t="s">
        <v>48</v>
      </c>
      <c r="C26" s="6" t="n">
        <f aca="false">SUMIFS('Estimate costs'!E:E,'Estimate costs'!C:C,A26)</f>
        <v>212639.82</v>
      </c>
      <c r="D26" s="2" t="s">
        <v>19</v>
      </c>
    </row>
    <row r="27" customFormat="false" ht="15" hidden="false" customHeight="false" outlineLevel="0" collapsed="false">
      <c r="B27" s="4" t="s">
        <v>49</v>
      </c>
      <c r="C27" s="7" t="n">
        <f aca="false">SUM(C13:C26)</f>
        <v>212639.82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28"/>
    <col collapsed="false" customWidth="true" hidden="false" outlineLevel="0" max="5" min="5" style="0" width="40"/>
    <col collapsed="false" customWidth="true" hidden="false" outlineLevel="0" max="6" min="6" style="0" width="10"/>
    <col collapsed="false" customWidth="true" hidden="false" outlineLevel="0" max="8" min="7" style="0" width="14"/>
  </cols>
  <sheetData>
    <row r="1" customFormat="false" ht="15" hidden="false" customHeight="false" outlineLevel="0" collapsed="false">
      <c r="A1" s="5" t="s">
        <v>6</v>
      </c>
      <c r="B1" s="5" t="s">
        <v>50</v>
      </c>
      <c r="C1" s="5" t="s">
        <v>51</v>
      </c>
      <c r="D1" s="5" t="s">
        <v>52</v>
      </c>
      <c r="E1" s="5" t="s">
        <v>53</v>
      </c>
      <c r="F1" s="5" t="s">
        <v>54</v>
      </c>
      <c r="G1" s="5" t="s">
        <v>55</v>
      </c>
      <c r="H1" s="5" t="s">
        <v>56</v>
      </c>
    </row>
    <row r="2" customFormat="false" ht="15" hidden="false" customHeight="false" outlineLevel="0" collapsed="false">
      <c r="A2" s="8" t="s">
        <v>57</v>
      </c>
      <c r="B2" s="8" t="s">
        <v>58</v>
      </c>
      <c r="C2" s="8"/>
      <c r="D2" s="8"/>
      <c r="E2" s="8" t="s">
        <v>59</v>
      </c>
      <c r="F2" s="8" t="s">
        <v>60</v>
      </c>
      <c r="G2" s="9" t="n">
        <v>366889.8</v>
      </c>
      <c r="H2" s="8"/>
    </row>
  </sheetData>
  <dataValidations count="1">
    <dataValidation allowBlank="false" errorStyle="stop" operator="between" showDropDown="false" showErrorMessage="false" showInputMessage="false" sqref="F2:F1000" type="list">
      <formula1>"Pending,Sold,Lost"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7"/>
    <col collapsed="false" customWidth="true" hidden="false" outlineLevel="0" max="4" min="4" style="0" width="56"/>
    <col collapsed="false" customWidth="true" hidden="false" outlineLevel="0" max="5" min="5" style="0" width="13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5" t="s">
        <v>6</v>
      </c>
      <c r="B1" s="5" t="s">
        <v>61</v>
      </c>
      <c r="C1" s="5" t="s">
        <v>62</v>
      </c>
      <c r="D1" s="5" t="s">
        <v>53</v>
      </c>
      <c r="E1" s="5" t="s">
        <v>55</v>
      </c>
      <c r="F1" s="5" t="s">
        <v>63</v>
      </c>
    </row>
    <row r="2" customFormat="false" ht="15" hidden="false" customHeight="false" outlineLevel="0" collapsed="false">
      <c r="A2" s="8" t="s">
        <v>57</v>
      </c>
      <c r="B2" s="8" t="n">
        <v>1</v>
      </c>
      <c r="C2" s="8" t="s">
        <v>64</v>
      </c>
      <c r="D2" s="8" t="s">
        <v>65</v>
      </c>
      <c r="E2" s="9" t="n">
        <v>6138.67</v>
      </c>
      <c r="F2" s="8"/>
    </row>
    <row r="3" customFormat="false" ht="15" hidden="false" customHeight="false" outlineLevel="0" collapsed="false">
      <c r="A3" s="8" t="s">
        <v>57</v>
      </c>
      <c r="B3" s="8" t="n">
        <v>2</v>
      </c>
      <c r="C3" s="8" t="s">
        <v>64</v>
      </c>
      <c r="D3" s="8" t="s">
        <v>66</v>
      </c>
      <c r="E3" s="9" t="n">
        <v>23221.63</v>
      </c>
      <c r="F3" s="8"/>
    </row>
    <row r="4" customFormat="false" ht="15" hidden="false" customHeight="false" outlineLevel="0" collapsed="false">
      <c r="A4" s="8" t="s">
        <v>57</v>
      </c>
      <c r="B4" s="8" t="n">
        <v>3</v>
      </c>
      <c r="C4" s="8" t="s">
        <v>64</v>
      </c>
      <c r="D4" s="8" t="s">
        <v>67</v>
      </c>
      <c r="E4" s="9" t="n">
        <v>1512.01</v>
      </c>
      <c r="F4" s="8"/>
    </row>
    <row r="5" customFormat="false" ht="15" hidden="false" customHeight="false" outlineLevel="0" collapsed="false">
      <c r="A5" s="8" t="s">
        <v>57</v>
      </c>
      <c r="B5" s="8" t="n">
        <v>4</v>
      </c>
      <c r="C5" s="8" t="s">
        <v>64</v>
      </c>
      <c r="D5" s="8" t="s">
        <v>68</v>
      </c>
      <c r="E5" s="9" t="n">
        <v>1527.69</v>
      </c>
      <c r="F5" s="8"/>
    </row>
    <row r="6" customFormat="false" ht="15" hidden="false" customHeight="false" outlineLevel="0" collapsed="false">
      <c r="A6" s="8" t="s">
        <v>57</v>
      </c>
      <c r="B6" s="8" t="n">
        <v>5</v>
      </c>
      <c r="C6" s="8" t="s">
        <v>64</v>
      </c>
      <c r="D6" s="8" t="s">
        <v>69</v>
      </c>
      <c r="E6" s="9" t="n">
        <v>251.48</v>
      </c>
      <c r="F6" s="8"/>
    </row>
    <row r="7" customFormat="false" ht="15" hidden="false" customHeight="false" outlineLevel="0" collapsed="false">
      <c r="A7" s="8" t="s">
        <v>57</v>
      </c>
      <c r="B7" s="8" t="n">
        <v>6</v>
      </c>
      <c r="C7" s="8" t="s">
        <v>70</v>
      </c>
      <c r="D7" s="8" t="s">
        <v>71</v>
      </c>
      <c r="E7" s="9" t="n">
        <v>33134.97</v>
      </c>
      <c r="F7" s="8"/>
    </row>
    <row r="8" customFormat="false" ht="15" hidden="false" customHeight="false" outlineLevel="0" collapsed="false">
      <c r="A8" s="8" t="s">
        <v>57</v>
      </c>
      <c r="B8" s="8" t="n">
        <v>7</v>
      </c>
      <c r="C8" s="8" t="s">
        <v>70</v>
      </c>
      <c r="D8" s="8" t="s">
        <v>72</v>
      </c>
      <c r="E8" s="9" t="n">
        <v>31073.21</v>
      </c>
      <c r="F8" s="8"/>
    </row>
    <row r="9" customFormat="false" ht="15" hidden="false" customHeight="false" outlineLevel="0" collapsed="false">
      <c r="A9" s="8" t="s">
        <v>57</v>
      </c>
      <c r="B9" s="8" t="n">
        <v>8</v>
      </c>
      <c r="C9" s="8" t="s">
        <v>64</v>
      </c>
      <c r="D9" s="8" t="s">
        <v>73</v>
      </c>
      <c r="E9" s="9" t="n">
        <v>6936.37</v>
      </c>
      <c r="F9" s="8"/>
    </row>
    <row r="10" customFormat="false" ht="15" hidden="false" customHeight="false" outlineLevel="0" collapsed="false">
      <c r="A10" s="8" t="s">
        <v>57</v>
      </c>
      <c r="B10" s="8" t="n">
        <v>9</v>
      </c>
      <c r="C10" s="8" t="s">
        <v>64</v>
      </c>
      <c r="D10" s="8" t="s">
        <v>74</v>
      </c>
      <c r="E10" s="9" t="n">
        <v>6245.09</v>
      </c>
      <c r="F10" s="8"/>
    </row>
    <row r="11" customFormat="false" ht="15" hidden="false" customHeight="false" outlineLevel="0" collapsed="false">
      <c r="A11" s="8" t="s">
        <v>57</v>
      </c>
      <c r="B11" s="8" t="n">
        <v>10</v>
      </c>
      <c r="C11" s="8" t="s">
        <v>70</v>
      </c>
      <c r="D11" s="8" t="s">
        <v>75</v>
      </c>
      <c r="E11" s="9" t="n">
        <v>14007.71</v>
      </c>
      <c r="F11" s="8"/>
    </row>
    <row r="12" customFormat="false" ht="15" hidden="false" customHeight="false" outlineLevel="0" collapsed="false">
      <c r="A12" s="8" t="s">
        <v>57</v>
      </c>
      <c r="B12" s="8" t="n">
        <v>11</v>
      </c>
      <c r="C12" s="8" t="s">
        <v>64</v>
      </c>
      <c r="D12" s="8" t="s">
        <v>76</v>
      </c>
      <c r="E12" s="9" t="n">
        <v>13034.74</v>
      </c>
      <c r="F12" s="8"/>
    </row>
    <row r="13" customFormat="false" ht="15" hidden="false" customHeight="false" outlineLevel="0" collapsed="false">
      <c r="A13" s="8" t="s">
        <v>57</v>
      </c>
      <c r="B13" s="8" t="n">
        <v>12</v>
      </c>
      <c r="C13" s="8" t="s">
        <v>64</v>
      </c>
      <c r="D13" s="8" t="s">
        <v>77</v>
      </c>
      <c r="E13" s="9" t="n">
        <v>7128.5</v>
      </c>
      <c r="F13" s="8"/>
    </row>
    <row r="14" customFormat="false" ht="15" hidden="false" customHeight="false" outlineLevel="0" collapsed="false">
      <c r="A14" s="8" t="s">
        <v>57</v>
      </c>
      <c r="B14" s="8" t="n">
        <v>13</v>
      </c>
      <c r="C14" s="8" t="s">
        <v>64</v>
      </c>
      <c r="D14" s="8" t="s">
        <v>78</v>
      </c>
      <c r="E14" s="9" t="n">
        <v>12047.22</v>
      </c>
      <c r="F14" s="8"/>
    </row>
    <row r="15" customFormat="false" ht="15" hidden="false" customHeight="false" outlineLevel="0" collapsed="false">
      <c r="A15" s="8" t="s">
        <v>57</v>
      </c>
      <c r="B15" s="8" t="n">
        <v>14</v>
      </c>
      <c r="C15" s="8" t="s">
        <v>64</v>
      </c>
      <c r="D15" s="8" t="s">
        <v>79</v>
      </c>
      <c r="E15" s="9" t="n">
        <v>3997.41</v>
      </c>
      <c r="F15" s="8"/>
    </row>
    <row r="16" customFormat="false" ht="15" hidden="false" customHeight="false" outlineLevel="0" collapsed="false">
      <c r="A16" s="8" t="s">
        <v>57</v>
      </c>
      <c r="B16" s="8" t="n">
        <v>15</v>
      </c>
      <c r="C16" s="8" t="s">
        <v>64</v>
      </c>
      <c r="D16" s="8" t="s">
        <v>80</v>
      </c>
      <c r="E16" s="9" t="n">
        <v>3690.15</v>
      </c>
      <c r="F16" s="8"/>
    </row>
    <row r="17" customFormat="false" ht="15" hidden="false" customHeight="false" outlineLevel="0" collapsed="false">
      <c r="A17" s="8" t="s">
        <v>57</v>
      </c>
      <c r="B17" s="8" t="n">
        <v>16</v>
      </c>
      <c r="C17" s="8" t="s">
        <v>64</v>
      </c>
      <c r="D17" s="8" t="s">
        <v>81</v>
      </c>
      <c r="E17" s="9" t="n">
        <v>2225.32</v>
      </c>
      <c r="F17" s="8"/>
    </row>
    <row r="18" customFormat="false" ht="15" hidden="false" customHeight="false" outlineLevel="0" collapsed="false">
      <c r="A18" s="8" t="s">
        <v>57</v>
      </c>
      <c r="B18" s="8" t="n">
        <v>17</v>
      </c>
      <c r="C18" s="8" t="s">
        <v>64</v>
      </c>
      <c r="D18" s="8" t="s">
        <v>82</v>
      </c>
      <c r="E18" s="9" t="n">
        <v>27173.47</v>
      </c>
      <c r="F18" s="8"/>
    </row>
    <row r="19" customFormat="false" ht="15" hidden="false" customHeight="false" outlineLevel="0" collapsed="false">
      <c r="A19" s="8" t="s">
        <v>57</v>
      </c>
      <c r="B19" s="8" t="n">
        <v>18</v>
      </c>
      <c r="C19" s="8" t="s">
        <v>64</v>
      </c>
      <c r="D19" s="8" t="s">
        <v>83</v>
      </c>
      <c r="E19" s="9" t="n">
        <v>177934.34</v>
      </c>
      <c r="F19" s="8"/>
    </row>
    <row r="20" customFormat="false" ht="15" hidden="false" customHeight="false" outlineLevel="0" collapsed="false">
      <c r="A20" s="8" t="s">
        <v>57</v>
      </c>
      <c r="B20" s="8" t="n">
        <v>19</v>
      </c>
      <c r="C20" s="8" t="s">
        <v>64</v>
      </c>
      <c r="D20" s="8" t="s">
        <v>84</v>
      </c>
      <c r="E20" s="9" t="n">
        <v>8489.13</v>
      </c>
      <c r="F20" s="8"/>
    </row>
    <row r="21" customFormat="false" ht="15" hidden="false" customHeight="false" outlineLevel="0" collapsed="false">
      <c r="A21" s="8" t="s">
        <v>57</v>
      </c>
      <c r="B21" s="8" t="n">
        <v>20</v>
      </c>
      <c r="C21" s="8" t="s">
        <v>70</v>
      </c>
      <c r="D21" s="8" t="s">
        <v>85</v>
      </c>
      <c r="E21" s="9" t="n">
        <v>4719.27</v>
      </c>
      <c r="F21" s="8"/>
    </row>
    <row r="22" customFormat="false" ht="15" hidden="false" customHeight="false" outlineLevel="0" collapsed="false">
      <c r="A22" s="8" t="s">
        <v>57</v>
      </c>
      <c r="B22" s="8" t="n">
        <v>21</v>
      </c>
      <c r="C22" s="8" t="s">
        <v>70</v>
      </c>
      <c r="D22" s="8" t="s">
        <v>86</v>
      </c>
      <c r="E22" s="9" t="n">
        <v>48856.04</v>
      </c>
      <c r="F22" s="8"/>
    </row>
    <row r="23" customFormat="false" ht="15" hidden="false" customHeight="false" outlineLevel="0" collapsed="false">
      <c r="A23" s="8" t="s">
        <v>57</v>
      </c>
      <c r="B23" s="8" t="n">
        <v>22</v>
      </c>
      <c r="C23" s="8" t="s">
        <v>70</v>
      </c>
      <c r="D23" s="8" t="s">
        <v>87</v>
      </c>
      <c r="E23" s="9" t="n">
        <v>15542.01</v>
      </c>
      <c r="F23" s="8"/>
    </row>
    <row r="24" customFormat="false" ht="15" hidden="false" customHeight="false" outlineLevel="0" collapsed="false">
      <c r="A24" s="8" t="s">
        <v>57</v>
      </c>
      <c r="B24" s="8" t="n">
        <v>23</v>
      </c>
      <c r="C24" s="8" t="s">
        <v>70</v>
      </c>
      <c r="D24" s="8" t="s">
        <v>88</v>
      </c>
      <c r="E24" s="9" t="n">
        <v>39394.78</v>
      </c>
      <c r="F24" s="8"/>
    </row>
    <row r="25" customFormat="false" ht="15" hidden="false" customHeight="false" outlineLevel="0" collapsed="false">
      <c r="A25" s="8" t="s">
        <v>57</v>
      </c>
      <c r="B25" s="8" t="n">
        <v>24</v>
      </c>
      <c r="C25" s="8" t="s">
        <v>64</v>
      </c>
      <c r="D25" s="8" t="s">
        <v>89</v>
      </c>
      <c r="E25" s="9" t="n">
        <v>17261.92</v>
      </c>
      <c r="F25" s="8"/>
    </row>
    <row r="26" customFormat="false" ht="15" hidden="false" customHeight="false" outlineLevel="0" collapsed="false">
      <c r="A26" s="8" t="s">
        <v>57</v>
      </c>
      <c r="B26" s="8" t="n">
        <v>25</v>
      </c>
      <c r="C26" s="8" t="s">
        <v>64</v>
      </c>
      <c r="D26" s="8" t="s">
        <v>90</v>
      </c>
      <c r="E26" s="9" t="n">
        <v>11333.36</v>
      </c>
      <c r="F26" s="8"/>
    </row>
    <row r="27" customFormat="false" ht="15" hidden="false" customHeight="false" outlineLevel="0" collapsed="false">
      <c r="A27" s="8" t="s">
        <v>57</v>
      </c>
      <c r="B27" s="8" t="n">
        <v>26</v>
      </c>
      <c r="C27" s="8" t="s">
        <v>64</v>
      </c>
      <c r="D27" s="8" t="s">
        <v>91</v>
      </c>
      <c r="E27" s="9" t="n">
        <v>0</v>
      </c>
      <c r="F27" s="8"/>
    </row>
    <row r="28" customFormat="false" ht="15" hidden="false" customHeight="false" outlineLevel="0" collapsed="false">
      <c r="A28" s="8" t="s">
        <v>57</v>
      </c>
      <c r="B28" s="8" t="n">
        <v>27</v>
      </c>
      <c r="C28" s="8" t="s">
        <v>64</v>
      </c>
      <c r="D28" s="8" t="s">
        <v>92</v>
      </c>
      <c r="E28" s="9" t="n">
        <v>0</v>
      </c>
      <c r="F28" s="8"/>
    </row>
    <row r="29" customFormat="false" ht="15" hidden="false" customHeight="false" outlineLevel="0" collapsed="false">
      <c r="A29" s="8" t="s">
        <v>57</v>
      </c>
      <c r="B29" s="8" t="n">
        <v>28</v>
      </c>
      <c r="C29" s="8" t="s">
        <v>64</v>
      </c>
      <c r="D29" s="8" t="s">
        <v>93</v>
      </c>
      <c r="E29" s="9" t="n">
        <v>0</v>
      </c>
      <c r="F29" s="8"/>
    </row>
    <row r="30" customFormat="false" ht="15" hidden="false" customHeight="false" outlineLevel="0" collapsed="false">
      <c r="A30" s="8" t="s">
        <v>57</v>
      </c>
      <c r="B30" s="8" t="n">
        <v>29</v>
      </c>
      <c r="C30" s="8" t="s">
        <v>64</v>
      </c>
      <c r="D30" s="8" t="s">
        <v>94</v>
      </c>
      <c r="E30" s="9" t="n">
        <v>0</v>
      </c>
      <c r="F30" s="8"/>
    </row>
    <row r="31" customFormat="false" ht="15" hidden="false" customHeight="false" outlineLevel="0" collapsed="false">
      <c r="A31" s="8" t="s">
        <v>57</v>
      </c>
      <c r="B31" s="8" t="n">
        <v>30</v>
      </c>
      <c r="C31" s="8" t="s">
        <v>64</v>
      </c>
      <c r="D31" s="8" t="s">
        <v>95</v>
      </c>
      <c r="E31" s="9" t="n">
        <v>0</v>
      </c>
      <c r="F31" s="8"/>
    </row>
    <row r="32" customFormat="false" ht="15" hidden="false" customHeight="false" outlineLevel="0" collapsed="false">
      <c r="A32" s="8" t="s">
        <v>57</v>
      </c>
      <c r="B32" s="8" t="n">
        <v>31</v>
      </c>
      <c r="C32" s="8" t="s">
        <v>64</v>
      </c>
      <c r="D32" s="8" t="s">
        <v>96</v>
      </c>
      <c r="E32" s="9" t="n">
        <v>397.65</v>
      </c>
      <c r="F32" s="8"/>
    </row>
    <row r="33" customFormat="false" ht="15" hidden="false" customHeight="false" outlineLevel="0" collapsed="false">
      <c r="A33" s="8" t="s">
        <v>57</v>
      </c>
      <c r="B33" s="8" t="n">
        <v>32</v>
      </c>
      <c r="C33" s="8" t="s">
        <v>64</v>
      </c>
      <c r="D33" s="8" t="s">
        <v>97</v>
      </c>
      <c r="E33" s="9" t="n">
        <v>36343.65</v>
      </c>
      <c r="F33" s="8"/>
    </row>
  </sheetData>
  <dataValidations count="1">
    <dataValidation allowBlank="false" errorStyle="stop" operator="between" showDropDown="false" showErrorMessage="false" showInputMessage="false" sqref="C2:C1033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90"/>
  </cols>
  <sheetData>
    <row r="1" customFormat="false" ht="15" hidden="false" customHeight="false" outlineLevel="0" collapsed="false">
      <c r="A1" s="5" t="s">
        <v>6</v>
      </c>
      <c r="B1" s="5" t="s">
        <v>61</v>
      </c>
      <c r="C1" s="5" t="s">
        <v>13</v>
      </c>
      <c r="D1" s="5" t="s">
        <v>98</v>
      </c>
      <c r="E1" s="5" t="s">
        <v>15</v>
      </c>
      <c r="F1" s="5" t="s">
        <v>63</v>
      </c>
    </row>
    <row r="2" customFormat="false" ht="15" hidden="false" customHeight="false" outlineLevel="0" collapsed="false">
      <c r="A2" s="8" t="s">
        <v>57</v>
      </c>
      <c r="B2" s="8" t="n">
        <v>1</v>
      </c>
      <c r="C2" s="8" t="s">
        <v>47</v>
      </c>
      <c r="D2" s="9" t="n">
        <v>18</v>
      </c>
      <c r="E2" s="9" t="n">
        <v>4312.06</v>
      </c>
      <c r="F2" s="8" t="s">
        <v>99</v>
      </c>
    </row>
    <row r="3" customFormat="false" ht="15" hidden="false" customHeight="false" outlineLevel="0" collapsed="false">
      <c r="A3" s="8" t="s">
        <v>57</v>
      </c>
      <c r="B3" s="8" t="n">
        <v>2</v>
      </c>
      <c r="C3" s="8" t="s">
        <v>47</v>
      </c>
      <c r="D3" s="9" t="n">
        <v>68.83</v>
      </c>
      <c r="E3" s="9" t="n">
        <v>13616.27</v>
      </c>
      <c r="F3" s="8" t="s">
        <v>99</v>
      </c>
    </row>
    <row r="4" customFormat="false" ht="15" hidden="false" customHeight="false" outlineLevel="0" collapsed="false">
      <c r="A4" s="8" t="s">
        <v>57</v>
      </c>
      <c r="B4" s="8" t="n">
        <v>3</v>
      </c>
      <c r="C4" s="8" t="s">
        <v>47</v>
      </c>
      <c r="D4" s="9" t="n">
        <v>1</v>
      </c>
      <c r="E4" s="9" t="n">
        <v>717.54</v>
      </c>
      <c r="F4" s="8" t="s">
        <v>99</v>
      </c>
    </row>
    <row r="5" customFormat="false" ht="15" hidden="false" customHeight="false" outlineLevel="0" collapsed="false">
      <c r="A5" s="8" t="s">
        <v>57</v>
      </c>
      <c r="B5" s="8" t="n">
        <v>4</v>
      </c>
      <c r="C5" s="8" t="s">
        <v>47</v>
      </c>
      <c r="D5" s="9" t="n">
        <v>9</v>
      </c>
      <c r="E5" s="9" t="n">
        <v>845.76</v>
      </c>
      <c r="F5" s="8" t="s">
        <v>99</v>
      </c>
    </row>
    <row r="6" customFormat="false" ht="15" hidden="false" customHeight="false" outlineLevel="0" collapsed="false">
      <c r="A6" s="8" t="s">
        <v>57</v>
      </c>
      <c r="B6" s="8" t="n">
        <v>5</v>
      </c>
      <c r="C6" s="8" t="s">
        <v>47</v>
      </c>
      <c r="D6" s="9" t="n">
        <v>2.25</v>
      </c>
      <c r="E6" s="9" t="n">
        <v>135.16</v>
      </c>
      <c r="F6" s="8" t="s">
        <v>99</v>
      </c>
    </row>
    <row r="7" customFormat="false" ht="15" hidden="false" customHeight="false" outlineLevel="0" collapsed="false">
      <c r="A7" s="8" t="s">
        <v>57</v>
      </c>
      <c r="B7" s="8" t="n">
        <v>8</v>
      </c>
      <c r="C7" s="8" t="s">
        <v>47</v>
      </c>
      <c r="D7" s="9" t="n">
        <v>18</v>
      </c>
      <c r="E7" s="9" t="n">
        <v>4153.15</v>
      </c>
      <c r="F7" s="8" t="s">
        <v>99</v>
      </c>
    </row>
    <row r="8" customFormat="false" ht="15" hidden="false" customHeight="false" outlineLevel="0" collapsed="false">
      <c r="A8" s="8" t="s">
        <v>57</v>
      </c>
      <c r="B8" s="8" t="n">
        <v>9</v>
      </c>
      <c r="C8" s="8" t="s">
        <v>47</v>
      </c>
      <c r="D8" s="9" t="n">
        <v>18</v>
      </c>
      <c r="E8" s="9" t="n">
        <v>3728.15</v>
      </c>
      <c r="F8" s="8" t="s">
        <v>99</v>
      </c>
    </row>
    <row r="9" customFormat="false" ht="15" hidden="false" customHeight="false" outlineLevel="0" collapsed="false">
      <c r="A9" s="8" t="s">
        <v>57</v>
      </c>
      <c r="B9" s="8" t="n">
        <v>11</v>
      </c>
      <c r="C9" s="8" t="s">
        <v>47</v>
      </c>
      <c r="D9" s="9" t="n">
        <v>72</v>
      </c>
      <c r="E9" s="9" t="n">
        <v>7484.54</v>
      </c>
      <c r="F9" s="8" t="s">
        <v>99</v>
      </c>
    </row>
    <row r="10" customFormat="false" ht="15" hidden="false" customHeight="false" outlineLevel="0" collapsed="false">
      <c r="A10" s="8" t="s">
        <v>57</v>
      </c>
      <c r="B10" s="8" t="n">
        <v>12</v>
      </c>
      <c r="C10" s="8" t="s">
        <v>47</v>
      </c>
      <c r="D10" s="9" t="n">
        <v>36</v>
      </c>
      <c r="E10" s="9" t="n">
        <v>4140.02</v>
      </c>
      <c r="F10" s="8" t="s">
        <v>99</v>
      </c>
    </row>
    <row r="11" customFormat="false" ht="15" hidden="false" customHeight="false" outlineLevel="0" collapsed="false">
      <c r="A11" s="8" t="s">
        <v>57</v>
      </c>
      <c r="B11" s="8" t="n">
        <v>13</v>
      </c>
      <c r="C11" s="8" t="s">
        <v>47</v>
      </c>
      <c r="D11" s="9" t="n">
        <v>54</v>
      </c>
      <c r="E11" s="9" t="n">
        <v>6975.34</v>
      </c>
      <c r="F11" s="8" t="s">
        <v>99</v>
      </c>
    </row>
    <row r="12" customFormat="false" ht="15" hidden="false" customHeight="false" outlineLevel="0" collapsed="false">
      <c r="A12" s="8" t="s">
        <v>57</v>
      </c>
      <c r="B12" s="8" t="n">
        <v>14</v>
      </c>
      <c r="C12" s="8" t="s">
        <v>47</v>
      </c>
      <c r="D12" s="9" t="n">
        <v>13.5</v>
      </c>
      <c r="E12" s="9" t="n">
        <v>2464.18</v>
      </c>
      <c r="F12" s="8" t="s">
        <v>99</v>
      </c>
    </row>
    <row r="13" customFormat="false" ht="15" hidden="false" customHeight="false" outlineLevel="0" collapsed="false">
      <c r="A13" s="8" t="s">
        <v>57</v>
      </c>
      <c r="B13" s="8" t="n">
        <v>15</v>
      </c>
      <c r="C13" s="8" t="s">
        <v>47</v>
      </c>
      <c r="D13" s="9" t="n">
        <v>18</v>
      </c>
      <c r="E13" s="9" t="n">
        <v>2158.96</v>
      </c>
      <c r="F13" s="8" t="s">
        <v>99</v>
      </c>
    </row>
    <row r="14" customFormat="false" ht="15" hidden="false" customHeight="false" outlineLevel="0" collapsed="false">
      <c r="A14" s="8" t="s">
        <v>57</v>
      </c>
      <c r="B14" s="8" t="n">
        <v>16</v>
      </c>
      <c r="C14" s="8" t="s">
        <v>47</v>
      </c>
      <c r="D14" s="9" t="n">
        <v>13.5</v>
      </c>
      <c r="E14" s="9" t="n">
        <v>1197.18</v>
      </c>
      <c r="F14" s="8" t="s">
        <v>99</v>
      </c>
    </row>
    <row r="15" customFormat="false" ht="15" hidden="false" customHeight="false" outlineLevel="0" collapsed="false">
      <c r="A15" s="8" t="s">
        <v>57</v>
      </c>
      <c r="B15" s="8" t="n">
        <v>17</v>
      </c>
      <c r="C15" s="8" t="s">
        <v>47</v>
      </c>
      <c r="D15" s="9"/>
      <c r="E15" s="9" t="n">
        <v>23468</v>
      </c>
      <c r="F15" s="8" t="s">
        <v>99</v>
      </c>
    </row>
    <row r="16" customFormat="false" ht="15" hidden="false" customHeight="false" outlineLevel="0" collapsed="false">
      <c r="A16" s="8" t="s">
        <v>57</v>
      </c>
      <c r="B16" s="8" t="n">
        <v>18</v>
      </c>
      <c r="C16" s="8" t="s">
        <v>47</v>
      </c>
      <c r="D16" s="9" t="n">
        <v>630</v>
      </c>
      <c r="E16" s="9" t="n">
        <v>93915.59</v>
      </c>
      <c r="F16" s="8" t="s">
        <v>99</v>
      </c>
    </row>
    <row r="17" customFormat="false" ht="15" hidden="false" customHeight="false" outlineLevel="0" collapsed="false">
      <c r="A17" s="8" t="s">
        <v>57</v>
      </c>
      <c r="B17" s="8" t="n">
        <v>19</v>
      </c>
      <c r="C17" s="8" t="s">
        <v>47</v>
      </c>
      <c r="D17" s="9" t="n">
        <v>18</v>
      </c>
      <c r="E17" s="9" t="n">
        <v>4494.98</v>
      </c>
      <c r="F17" s="8" t="s">
        <v>99</v>
      </c>
    </row>
    <row r="18" customFormat="false" ht="15" hidden="false" customHeight="false" outlineLevel="0" collapsed="false">
      <c r="A18" s="8" t="s">
        <v>57</v>
      </c>
      <c r="B18" s="8" t="n">
        <v>24</v>
      </c>
      <c r="C18" s="8" t="s">
        <v>47</v>
      </c>
      <c r="D18" s="9" t="n">
        <v>90</v>
      </c>
      <c r="E18" s="9" t="n">
        <v>10373.61</v>
      </c>
      <c r="F18" s="8" t="s">
        <v>99</v>
      </c>
    </row>
    <row r="19" customFormat="false" ht="15" hidden="false" customHeight="false" outlineLevel="0" collapsed="false">
      <c r="A19" s="8" t="s">
        <v>57</v>
      </c>
      <c r="B19" s="8" t="n">
        <v>25</v>
      </c>
      <c r="C19" s="8" t="s">
        <v>47</v>
      </c>
      <c r="D19" s="9" t="n">
        <v>40.5</v>
      </c>
      <c r="E19" s="9" t="n">
        <v>7008.41</v>
      </c>
      <c r="F19" s="8" t="s">
        <v>99</v>
      </c>
    </row>
    <row r="20" customFormat="false" ht="15" hidden="false" customHeight="false" outlineLevel="0" collapsed="false">
      <c r="A20" s="8" t="s">
        <v>57</v>
      </c>
      <c r="B20" s="8" t="n">
        <v>31</v>
      </c>
      <c r="C20" s="8" t="s">
        <v>47</v>
      </c>
      <c r="D20" s="9"/>
      <c r="E20" s="9" t="n">
        <v>260</v>
      </c>
      <c r="F20" s="8" t="s">
        <v>99</v>
      </c>
    </row>
    <row r="21" customFormat="false" ht="15" hidden="false" customHeight="false" outlineLevel="0" collapsed="false">
      <c r="A21" s="8" t="s">
        <v>57</v>
      </c>
      <c r="B21" s="8" t="n">
        <v>32</v>
      </c>
      <c r="C21" s="8" t="s">
        <v>47</v>
      </c>
      <c r="D21" s="9" t="n">
        <v>121.5</v>
      </c>
      <c r="E21" s="9" t="n">
        <v>21190.92</v>
      </c>
      <c r="F21" s="8" t="s">
        <v>99</v>
      </c>
    </row>
  </sheetData>
  <dataValidations count="1">
    <dataValidation allowBlank="false" errorStyle="stop" operator="between" showDropDown="false" showErrorMessage="false" showInputMessage="false" sqref="C2:C1021" type="list">
      <formula1>"110,120,130,135,140,145,147,150,155,160,165,170,180,190"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2026-09-25T15:29:48Z</dcterms:created>
  <dc:creator>openpyxl</dc:creator>
  <dc:description/>
  <dc:language>en-US</dc:language>
  <cp:lastModifiedBy/>
  <dcterms:modified xsi:type="dcterms:W3CDTF">2026-09-25T15:29:48Z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